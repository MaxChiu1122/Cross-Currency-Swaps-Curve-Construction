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Market Data" sheetId="2" state="visible" r:id="rId2"/>
    <sheet xmlns:r="http://schemas.openxmlformats.org/officeDocument/2006/relationships" name="Fixing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CF" sheetId="5" state="visible" r:id="rId5"/>
    <sheet xmlns:r="http://schemas.openxmlformats.org/officeDocument/2006/relationships" name="Holidays" sheetId="6" state="visible" r:id="rId6"/>
    <sheet xmlns:r="http://schemas.openxmlformats.org/officeDocument/2006/relationships" name="Sensitivities" sheetId="7" state="visible" r:id="rId7"/>
    <sheet xmlns:r="http://schemas.openxmlformats.org/officeDocument/2006/relationships" name="Paste" sheetId="8" state="visible" r:id="rId8"/>
    <sheet xmlns:r="http://schemas.openxmlformats.org/officeDocument/2006/relationships" name="All_Curves" sheetId="9" state="visible" r:id="rId9"/>
  </sheets>
  <definedNames>
    <definedName name="_xlnm._FilterDatabase" localSheetId="4" hidden="1">'CF'!$A$1:$R$1119</definedName>
  </definedNames>
  <calcPr calcId="191029" fullCalcOnLoad="1"/>
  <pivotCaches>
    <pivotCache xmlns:r="http://schemas.openxmlformats.org/officeDocument/2006/relationships" cacheId="0" r:id="rId10"/>
  </pivotCaches>
</workbook>
</file>

<file path=xl/styles.xml><?xml version="1.0" encoding="utf-8"?>
<styleSheet xmlns="http://schemas.openxmlformats.org/spreadsheetml/2006/main">
  <numFmts count="8">
    <numFmt numFmtId="164" formatCode="_-* #,##0.00_-;\-* #,##0.00_-;_-* &quot;-&quot;??_-;_-@_-"/>
    <numFmt numFmtId="165" formatCode="_-* #,##0.0000_-;\-* #,##0.0000_-;_-* &quot;-&quot;??_-;_-@_-"/>
    <numFmt numFmtId="166" formatCode="0.00_ "/>
    <numFmt numFmtId="167" formatCode="0.00000"/>
    <numFmt numFmtId="168" formatCode="0.000000_ "/>
    <numFmt numFmtId="169" formatCode="0.0000"/>
    <numFmt numFmtId="170" formatCode="0.000"/>
    <numFmt numFmtId="171" formatCode="yyyy\-mm\-dd\ h:mm:ss"/>
  </numFmts>
  <fonts count="15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family val="2"/>
      <color theme="1"/>
      <sz val="11"/>
      <scheme val="minor"/>
    </font>
    <font>
      <name val="Calibri"/>
      <family val="2"/>
      <b val="1"/>
      <sz val="11"/>
    </font>
    <font>
      <name val="新細明體"/>
      <charset val="136"/>
      <family val="3"/>
      <sz val="9"/>
      <scheme val="minor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sz val="10"/>
    </font>
    <font>
      <name val="Arial"/>
      <family val="2"/>
      <color theme="7" tint="-0.249977111117893"/>
      <sz val="10"/>
    </font>
    <font>
      <name val="Arial"/>
      <family val="2"/>
      <color theme="1"/>
      <sz val="11"/>
    </font>
    <font>
      <name val="新細明體"/>
      <family val="2"/>
      <color indexed="8"/>
      <sz val="11"/>
      <scheme val="minor"/>
    </font>
    <font>
      <name val="Calibri"/>
      <family val="2"/>
      <sz val="11"/>
    </font>
    <font>
      <name val="Calibri"/>
      <family val="2"/>
      <b val="1"/>
      <color theme="1"/>
      <sz val="1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2" fillId="0" borderId="0"/>
    <xf numFmtId="43" fontId="2" fillId="0" borderId="0" applyAlignment="1">
      <alignment vertical="center"/>
    </xf>
    <xf numFmtId="0" fontId="12" fillId="0" borderId="0"/>
    <xf numFmtId="43" fontId="12" fillId="0" borderId="0"/>
    <xf numFmtId="43" fontId="2" fillId="0" borderId="0"/>
  </cellStyleXfs>
  <cellXfs count="7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4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14" fontId="5" fillId="0" borderId="0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wrapText="1"/>
    </xf>
    <xf numFmtId="0" fontId="11" fillId="0" borderId="0" pivotButton="0" quotePrefix="0" xfId="0"/>
    <xf numFmtId="0" fontId="5" fillId="3" borderId="3" pivotButton="0" quotePrefix="0" xfId="0"/>
    <xf numFmtId="0" fontId="5" fillId="4" borderId="3" pivotButton="0" quotePrefix="0" xfId="0"/>
    <xf numFmtId="0" fontId="5" fillId="5" borderId="0" pivotButton="0" quotePrefix="0" xfId="0"/>
    <xf numFmtId="14" fontId="5" fillId="3" borderId="4" pivotButton="0" quotePrefix="0" xfId="0"/>
    <xf numFmtId="0" fontId="6" fillId="0" borderId="0" pivotButton="0" quotePrefix="0" xfId="0"/>
    <xf numFmtId="0" fontId="12" fillId="0" borderId="0" pivotButton="0" quotePrefix="0" xfId="2"/>
    <xf numFmtId="0" fontId="12" fillId="0" borderId="0" applyAlignment="1" pivotButton="0" quotePrefix="0" xfId="2">
      <alignment horizontal="center" wrapText="1"/>
    </xf>
    <xf numFmtId="0" fontId="12" fillId="6" borderId="0" pivotButton="0" quotePrefix="0" xfId="2"/>
    <xf numFmtId="0" fontId="0" fillId="0" borderId="0" pivotButton="0" quotePrefix="0" xfId="0"/>
    <xf numFmtId="14" fontId="13" fillId="0" borderId="0" pivotButton="0" quotePrefix="0" xfId="0"/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14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/>
    </xf>
    <xf numFmtId="0" fontId="5" fillId="0" borderId="0" pivotButton="1" quotePrefix="0" xfId="0"/>
    <xf numFmtId="0" fontId="14" fillId="12" borderId="0" pivotButton="0" quotePrefix="0" xfId="0"/>
    <xf numFmtId="0" fontId="14" fillId="13" borderId="0" pivotButton="0" quotePrefix="0" xfId="0"/>
    <xf numFmtId="14" fontId="5" fillId="0" borderId="0" applyAlignment="1" pivotButton="0" quotePrefix="0" xfId="0">
      <alignment horizontal="left"/>
    </xf>
    <xf numFmtId="2" fontId="5" fillId="0" borderId="0" pivotButton="0" quotePrefix="0" xfId="0"/>
    <xf numFmtId="0" fontId="13" fillId="15" borderId="0" applyAlignment="1" pivotButton="0" quotePrefix="0" xfId="0">
      <alignment horizontal="center" vertical="center"/>
    </xf>
    <xf numFmtId="14" fontId="13" fillId="15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13" fillId="0" borderId="0" applyAlignment="1" pivotButton="0" quotePrefix="0" xfId="0">
      <alignment horizontal="center" vertical="center"/>
    </xf>
    <xf numFmtId="14" fontId="13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1" fillId="16" borderId="0" pivotButton="0" quotePrefix="0" xfId="0"/>
    <xf numFmtId="164" fontId="13" fillId="15" borderId="0" applyAlignment="1" pivotButton="0" quotePrefix="0" xfId="1">
      <alignment horizontal="center" vertical="center"/>
    </xf>
    <xf numFmtId="164" fontId="13" fillId="0" borderId="0" applyAlignment="1" pivotButton="0" quotePrefix="0" xfId="1">
      <alignment horizontal="center" vertical="center"/>
    </xf>
    <xf numFmtId="165" fontId="11" fillId="16" borderId="0" pivotButton="0" quotePrefix="0" xfId="0"/>
    <xf numFmtId="166" fontId="7" fillId="4" borderId="2" applyAlignment="1" pivotButton="0" quotePrefix="0" xfId="0">
      <alignment horizontal="center" vertical="center" wrapText="1"/>
    </xf>
    <xf numFmtId="166" fontId="8" fillId="4" borderId="2" applyAlignment="1" pivotButton="0" quotePrefix="0" xfId="0">
      <alignment horizontal="center" vertical="center" wrapText="1"/>
    </xf>
    <xf numFmtId="166" fontId="7" fillId="3" borderId="2" applyAlignment="1" pivotButton="0" quotePrefix="0" xfId="0">
      <alignment horizontal="center" vertical="center" wrapText="1"/>
    </xf>
    <xf numFmtId="166" fontId="8" fillId="3" borderId="2" applyAlignment="1" pivotButton="0" quotePrefix="0" xfId="0">
      <alignment horizontal="center" vertical="center" wrapText="1"/>
    </xf>
    <xf numFmtId="167" fontId="5" fillId="3" borderId="3" pivotButton="0" quotePrefix="0" xfId="0"/>
    <xf numFmtId="166" fontId="5" fillId="4" borderId="3" pivotButton="0" quotePrefix="0" xfId="0"/>
    <xf numFmtId="168" fontId="5" fillId="4" borderId="3" pivotButton="0" quotePrefix="0" xfId="0"/>
    <xf numFmtId="166" fontId="5" fillId="3" borderId="3" pivotButton="0" quotePrefix="0" xfId="0"/>
    <xf numFmtId="169" fontId="5" fillId="2" borderId="1" pivotButton="0" quotePrefix="0" xfId="0"/>
    <xf numFmtId="170" fontId="5" fillId="0" borderId="0" pivotButton="0" quotePrefix="0" xfId="0"/>
    <xf numFmtId="171" fontId="0" fillId="0" borderId="0" pivotButton="0" quotePrefix="0" xfId="0"/>
    <xf numFmtId="164" fontId="12" fillId="0" borderId="0" pivotButton="0" quotePrefix="0" xfId="4"/>
    <xf numFmtId="0" fontId="5" fillId="0" borderId="0" pivotButton="0" quotePrefix="0" xfId="0"/>
    <xf numFmtId="43" fontId="5" fillId="14" borderId="0" pivotButton="0" quotePrefix="0" xfId="0"/>
    <xf numFmtId="164" fontId="13" fillId="15" borderId="0" applyAlignment="1" pivotButton="0" quotePrefix="0" xfId="1">
      <alignment horizontal="center" vertical="center"/>
    </xf>
    <xf numFmtId="164" fontId="13" fillId="0" borderId="0" applyAlignment="1" pivotButton="0" quotePrefix="0" xfId="1">
      <alignment horizontal="center" vertical="center"/>
    </xf>
    <xf numFmtId="166" fontId="7" fillId="4" borderId="2" applyAlignment="1" pivotButton="0" quotePrefix="0" xfId="0">
      <alignment horizontal="center" vertical="center" wrapText="1"/>
    </xf>
    <xf numFmtId="166" fontId="8" fillId="4" borderId="2" applyAlignment="1" pivotButton="0" quotePrefix="0" xfId="0">
      <alignment horizontal="center" vertical="center" wrapText="1"/>
    </xf>
    <xf numFmtId="166" fontId="7" fillId="3" borderId="2" applyAlignment="1" pivotButton="0" quotePrefix="0" xfId="0">
      <alignment horizontal="center" vertical="center" wrapText="1"/>
    </xf>
    <xf numFmtId="166" fontId="8" fillId="3" borderId="2" applyAlignment="1" pivotButton="0" quotePrefix="0" xfId="0">
      <alignment horizontal="center" vertical="center" wrapText="1"/>
    </xf>
    <xf numFmtId="167" fontId="5" fillId="3" borderId="3" pivotButton="0" quotePrefix="0" xfId="0"/>
    <xf numFmtId="166" fontId="5" fillId="4" borderId="3" pivotButton="0" quotePrefix="0" xfId="0"/>
    <xf numFmtId="168" fontId="5" fillId="4" borderId="3" pivotButton="0" quotePrefix="0" xfId="0"/>
    <xf numFmtId="166" fontId="5" fillId="3" borderId="3" pivotButton="0" quotePrefix="0" xfId="0"/>
    <xf numFmtId="169" fontId="5" fillId="2" borderId="1" pivotButton="0" quotePrefix="0" xfId="0"/>
    <xf numFmtId="43" fontId="5" fillId="14" borderId="0" pivotButton="0" quotePrefix="0" xfId="0"/>
    <xf numFmtId="170" fontId="5" fillId="0" borderId="0" pivotButton="0" quotePrefix="0" xfId="0"/>
    <xf numFmtId="171" fontId="0" fillId="0" borderId="0" pivotButton="0" quotePrefix="0" xfId="0"/>
    <xf numFmtId="164" fontId="12" fillId="0" borderId="0" pivotButton="0" quotePrefix="0" xfId="4"/>
    <xf numFmtId="165" fontId="11" fillId="16" borderId="0" pivotButton="0" quotePrefix="0" xfId="0"/>
  </cellXfs>
  <cellStyles count="5">
    <cellStyle name="一般" xfId="0" builtinId="0"/>
    <cellStyle name="千分位" xfId="1" builtinId="3"/>
    <cellStyle name="Normal 2" xfId="2"/>
    <cellStyle name="Comma 2" xfId="3"/>
    <cellStyle name="千分位 2" xfId="4"/>
  </cellStyles>
  <dxfs count="28"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2" formatCode="0.00"/>
    </dxf>
    <dxf>
      <numFmt numFmtId="180" formatCode="0.000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2" formatCode="0.00"/>
    </dxf>
    <dxf>
      <numFmt numFmtId="180" formatCode="0.000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ill>
        <patternFill>
          <fgColor indexed="64"/>
          <bgColor indexed="65"/>
        </patternFill>
      </fill>
      <alignment horizontal="general" vertical="bottom"/>
    </dxf>
    <dxf>
      <font>
        <name val="Calibri"/>
      </font>
      <fill>
        <patternFill patternType="solid">
          <fgColor indexed="64"/>
          <bgColor indexed="65"/>
        </patternFill>
      </fill>
    </dxf>
    <dxf>
      <font>
        <name val="新細明體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83" formatCode="_(* #,##0.00_);_(* \(#,##0.00\);_(* &quot;-&quot;??_);_(@_)"/>
      <fill>
        <patternFill>
          <fgColor indexed="64"/>
          <bgColor indexed="65"/>
        </patternFill>
      </fill>
      <alignment horizontal="general" vertical="center"/>
      <border outline="0">
        <left/>
        <right/>
        <top/>
        <bottom/>
      </border>
      <protection locked="1" hidden="0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pivotCacheDefinition" Target="/xl/pivotCache/pivotCacheDefinition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邱士展(Max Chiu)" refreshedDate="45978.61072604167" createdVersion="7" refreshedVersion="7" minRefreshableVersion="3" recordCount="1119" r:id="rId1">
  <cacheSource type="worksheet">
    <worksheetSource ref="A1:J1048576" sheet="CF"/>
  </cacheSource>
  <cacheFields count="10">
    <cacheField name="Booking_ID" uniqueList="1" numFmtId="0" sqlType="0" hierarchy="0" level="0" databaseField="1">
      <sharedItems count="17" containsBlank="1">
        <s v="CCS-001"/>
        <m/>
        <s v="CCS-009" u="1"/>
        <s v="T1" u="1"/>
        <s v="T3" u="1"/>
        <s v="CCS-010" u="1"/>
        <s v="T2" u="1"/>
        <s v="CCS-011" u="1"/>
        <s v="CCS-002" u="1"/>
        <s v="CCS-012" u="1"/>
        <s v="CCS-003" u="1"/>
        <s v="CCS-013" u="1"/>
        <s v="CCS-004" u="1"/>
        <s v="CCS-005" u="1"/>
        <s v="CCS-006" u="1"/>
        <s v="CCS-007" u="1"/>
        <s v="CCS-008" u="1"/>
      </sharedItems>
    </cacheField>
    <cacheField name="Type" uniqueList="1" numFmtId="0" sqlType="0" hierarchy="0" level="0" databaseField="1">
      <sharedItems count="4" containsBlank="1">
        <s v="Cashflow"/>
        <s v="FixedPeriod"/>
        <s v="FloatPeriod"/>
        <m/>
      </sharedItems>
    </cacheField>
    <cacheField name="Period" uniqueList="1" numFmtId="0" sqlType="0" hierarchy="0" level="0" databaseField="1">
      <sharedItems count="0" containsBlank="1"/>
    </cacheField>
    <cacheField name="Ccy" uniqueList="1" numFmtId="0" sqlType="0" hierarchy="0" level="0" databaseField="1">
      <sharedItems count="4" containsBlank="1">
        <s v="THB"/>
        <s v="JPY"/>
        <m/>
        <s v="USD" u="1"/>
      </sharedItems>
    </cacheField>
    <cacheField name="Payment" uniqueList="1" numFmtId="0" sqlType="0" hierarchy="0" level="0" databaseField="1">
      <sharedItems count="96" containsBlank="1" containsDate="1" containsNonDate="0" containsString="0" minDate="2025-09-10T00:00:00" maxDate="2035-10-17T00:00:00">
        <d v="2025-09-12T00:00:00"/>
        <d v="2025-10-16T00:00:00"/>
        <d v="2026-01-15T00:00:00"/>
        <d v="2026-04-15T00:00:00"/>
        <d v="2026-07-15T00:00:00"/>
        <d v="2026-10-15T00:00:00"/>
        <d v="2027-01-14T00:00:00"/>
        <d v="2027-04-14T00:00:00"/>
        <d v="2027-07-14T00:00:00"/>
        <d v="2027-10-14T00:00:00"/>
        <d v="2028-01-14T00:00:00"/>
        <d v="2028-04-14T00:00:00"/>
        <d v="2028-07-14T00:00:00"/>
        <d v="2028-10-16T00:00:00"/>
        <d v="2029-01-16T00:00:00"/>
        <d v="2029-04-16T00:00:00"/>
        <d v="2029-07-17T00:00:00"/>
        <d v="2029-10-16T00:00:00"/>
        <d v="2030-01-17T00:00:00"/>
        <d v="2030-04-16T00:00:00"/>
        <d v="2030-07-17T00:00:00"/>
        <d v="2030-10-17T00:00:00"/>
        <d v="2031-01-16T00:00:00"/>
        <d v="2031-04-16T00:00:00"/>
        <d v="2031-07-16T00:00:00"/>
        <d v="2031-10-16T00:00:00"/>
        <d v="2032-01-15T00:00:00"/>
        <d v="2032-04-14T00:00:00"/>
        <d v="2032-07-14T00:00:00"/>
        <d v="2032-10-14T00:00:00"/>
        <d v="2033-01-14T00:00:00"/>
        <d v="2033-04-14T00:00:00"/>
        <d v="2033-07-14T00:00:00"/>
        <d v="2033-10-14T00:00:00"/>
        <d v="2034-01-16T00:00:00"/>
        <d v="2034-04-14T00:00:00"/>
        <d v="2034-07-14T00:00:00"/>
        <d v="2034-10-16T00:00:00"/>
        <d v="2035-01-16T00:00:00"/>
        <d v="2035-04-16T00:00:00"/>
        <d v="2035-07-17T00:00:00"/>
        <d v="2035-10-16T00:00:00"/>
        <d v="2035-10-12T00:00:00"/>
        <m/>
        <d v="2026-01-14T00:00:00" u="1"/>
        <d v="2030-01-14T00:00:00" u="1"/>
        <d v="2032-01-14T00:00:00" u="1"/>
        <d v="2027-04-12T00:00:00" u="1"/>
        <d v="2028-04-12T00:00:00" u="1"/>
        <d v="2029-04-12T00:00:00" u="1"/>
        <d v="2030-04-12T00:00:00" u="1"/>
        <d v="2032-04-12T00:00:00" u="1"/>
        <d v="2031-07-14T00:00:00" u="1"/>
        <d v="2033-04-12T00:00:00" u="1"/>
        <d v="2030-10-16T00:00:00" u="1"/>
        <d v="2034-04-12T00:00:00" u="1"/>
        <d v="2035-04-12T00:00:00" u="1"/>
        <d v="2027-10-12T00:00:00" u="1"/>
        <d v="2028-10-12T00:00:00" u="1"/>
        <d v="2029-10-12T00:00:00" u="1"/>
        <d v="2032-10-12T00:00:00" u="1"/>
        <d v="2033-10-12T00:00:00" u="1"/>
        <d v="2034-10-12T00:00:00" u="1"/>
        <d v="2031-01-13T00:00:00" u="1"/>
        <d v="2026-07-13T00:00:00" u="1"/>
        <d v="2031-10-15T00:00:00" u="1"/>
        <d v="2025-09-10T00:00:00" u="1"/>
        <d v="2030-01-16T00:00:00" u="1"/>
        <d v="2026-01-12T00:00:00" u="1"/>
        <d v="2027-01-12T00:00:00" u="1"/>
        <d v="2028-01-12T00:00:00" u="1"/>
        <d v="2029-01-12T00:00:00" u="1"/>
        <d v="2032-01-12T00:00:00" u="1"/>
        <d v="2029-07-16T00:00:00" u="1"/>
        <d v="2031-04-14T00:00:00" u="1"/>
        <d v="2033-01-12T00:00:00" u="1"/>
        <d v="2030-07-16T00:00:00" u="1"/>
        <d v="2034-01-12T00:00:00" u="1"/>
        <d v="2035-01-12T00:00:00" u="1"/>
        <d v="2025-10-14T00:00:00" u="1"/>
        <d v="2027-07-12T00:00:00" u="1"/>
        <d v="2028-07-12T00:00:00" u="1"/>
        <d v="2035-07-16T00:00:00" u="1"/>
        <d v="2029-07-12T00:00:00" u="1"/>
        <d v="2030-07-12T00:00:00" u="1"/>
        <d v="2030-10-14T00:00:00" u="1"/>
        <d v="2032-07-12T00:00:00" u="1"/>
        <d v="2033-07-12T00:00:00" u="1"/>
        <d v="2034-07-12T00:00:00" u="1"/>
        <d v="2035-07-12T00:00:00" u="1"/>
        <d v="2025-09-17T00:00:00" u="1"/>
        <d v="2031-01-15T00:00:00" u="1"/>
        <d v="2026-04-13T00:00:00" u="1"/>
        <d v="2026-10-13T00:00:00" u="1"/>
        <d v="2031-10-13T00:00:00" u="1"/>
        <d v="2025-09-16T00:00:00" u="1"/>
      </sharedItems>
    </cacheField>
    <cacheField name="Notional" uniqueList="1" numFmtId="0" sqlType="0" hierarchy="0" level="0" databaseField="1">
      <sharedItems count="0" containsBlank="1" containsNumber="1" containsString="0" minValue="-4642485.53092613" maxValue="4642485.53092613"/>
    </cacheField>
    <cacheField name="DF" uniqueList="1" numFmtId="0" sqlType="0" hierarchy="0" level="0" databaseField="1">
      <sharedItems count="0" containsBlank="1" containsNumber="1" containsString="0" minValue="0.8831700594390001" maxValue="0.9999777702172085"/>
    </cacheField>
    <cacheField name="Rate" uniqueList="1" numFmtId="0" sqlType="0" hierarchy="0" level="0" databaseField="1">
      <sharedItems count="0" containsBlank="1" containsNumber="1" containsString="0" minValue="0.4788211356414573" maxValue="2.171153958328015"/>
    </cacheField>
    <cacheField name="Cashflow" uniqueList="1" numFmtId="0" sqlType="0" hierarchy="0" level="0" databaseField="1">
      <sharedItems count="0" containsBlank="1" containsNumber="1" containsString="0" minValue="-4642485.53092613" maxValue="4642485.53092613"/>
    </cacheField>
    <cacheField name="NPV" uniqueList="1" numFmtId="0" sqlType="0" hierarchy="0" level="0" databaseField="1">
      <sharedItems count="0" containsBlank="1" containsNumber="1" containsString="0" minValue="-4200049.374455454" maxValue="4642382.329481164"/>
    </cacheField>
  </cacheFields>
</pivotCacheDefinition>
</file>

<file path=xl/pivotCache/pivotCacheRecords1.xml><?xml version="1.0" encoding="utf-8"?>
<pivotCacheRecords xmlns="http://schemas.openxmlformats.org/spreadsheetml/2006/main" count="1119">
  <r>
    <x v="0"/>
    <x v="0"/>
    <s v="Exchange"/>
    <x v="0"/>
    <x v="0"/>
    <n v="1000000"/>
    <n v="0.9999256228866206"/>
    <m/>
    <n v="-1000000"/>
    <n v="-999925.6228866206"/>
  </r>
  <r>
    <x v="0"/>
    <x v="1"/>
    <s v="Stub"/>
    <x v="0"/>
    <x v="1"/>
    <n v="-1000000"/>
    <n v="0.9986643321658927"/>
    <n v="1.5"/>
    <n v="1315.068493150685"/>
    <n v="1313.311998464736"/>
  </r>
  <r>
    <x v="0"/>
    <x v="1"/>
    <s v="Regular"/>
    <x v="0"/>
    <x v="2"/>
    <n v="-1000000"/>
    <n v="0.995698915404739"/>
    <n v="1.5"/>
    <n v="3739.726027397261"/>
    <n v="3723.641149390326"/>
  </r>
  <r>
    <x v="0"/>
    <x v="1"/>
    <s v="Regular"/>
    <x v="0"/>
    <x v="3"/>
    <n v="-1000000"/>
    <n v="0.9934791210454537"/>
    <n v="1.5"/>
    <n v="3698.630136986301"/>
    <n v="3674.511817565376"/>
  </r>
  <r>
    <x v="0"/>
    <x v="1"/>
    <s v="Regular"/>
    <x v="0"/>
    <x v="4"/>
    <n v="-1000000"/>
    <n v="0.9913780531242771"/>
    <n v="1.5"/>
    <n v="3739.726027397261"/>
    <n v="3707.482308259283"/>
  </r>
  <r>
    <x v="0"/>
    <x v="1"/>
    <s v="Regular"/>
    <x v="0"/>
    <x v="5"/>
    <n v="-1000000"/>
    <n v="0.9891644972820717"/>
    <n v="1.5"/>
    <n v="3780.821917808219"/>
    <n v="3739.854811641806"/>
  </r>
  <r>
    <x v="0"/>
    <x v="1"/>
    <s v="Regular"/>
    <x v="0"/>
    <x v="6"/>
    <n v="-1000000"/>
    <n v="0.9867296479409596"/>
    <n v="1.5"/>
    <n v="3739.726027397261"/>
    <n v="3690.098546409342"/>
  </r>
  <r>
    <x v="0"/>
    <x v="1"/>
    <s v="Regular"/>
    <x v="0"/>
    <x v="7"/>
    <n v="-1000000"/>
    <n v="0.9843324649752468"/>
    <n v="1.5"/>
    <n v="3698.630136986301"/>
    <n v="3640.68171977146"/>
  </r>
  <r>
    <x v="0"/>
    <x v="1"/>
    <s v="Regular"/>
    <x v="0"/>
    <x v="8"/>
    <n v="-1000000"/>
    <n v="0.9819196258059535"/>
    <n v="1.5"/>
    <n v="3739.726027397261"/>
    <n v="3672.110381438703"/>
  </r>
  <r>
    <x v="0"/>
    <x v="1"/>
    <s v="Regular"/>
    <x v="0"/>
    <x v="9"/>
    <n v="-1000000"/>
    <n v="0.9794541904173695"/>
    <n v="1.5"/>
    <n v="3780.821917808219"/>
    <n v="3703.141870619096"/>
  </r>
  <r>
    <x v="0"/>
    <x v="1"/>
    <s v="Regular"/>
    <x v="0"/>
    <x v="10"/>
    <n v="-1000000"/>
    <n v="0.9769092531067343"/>
    <n v="1.5"/>
    <n v="3780.821917808219"/>
    <n v="3693.519915855598"/>
  </r>
  <r>
    <x v="0"/>
    <x v="1"/>
    <s v="Regular"/>
    <x v="0"/>
    <x v="11"/>
    <n v="-1000000"/>
    <n v="0.9743775015789338"/>
    <n v="1.5"/>
    <n v="3739.726027397261"/>
    <n v="3643.904903165054"/>
  </r>
  <r>
    <x v="0"/>
    <x v="1"/>
    <s v="Regular"/>
    <x v="0"/>
    <x v="12"/>
    <n v="-1000000"/>
    <n v="0.9718314987181724"/>
    <n v="1.5"/>
    <n v="3739.726027397261"/>
    <n v="3634.383550000837"/>
  </r>
  <r>
    <x v="0"/>
    <x v="1"/>
    <s v="Regular"/>
    <x v="0"/>
    <x v="13"/>
    <n v="-1000000"/>
    <n v="0.9691895058707687"/>
    <n v="1.5"/>
    <n v="3780.821917808219"/>
    <n v="3664.33292630592"/>
  </r>
  <r>
    <x v="0"/>
    <x v="1"/>
    <s v="Regular"/>
    <x v="0"/>
    <x v="14"/>
    <n v="-1000000"/>
    <n v="0.9665948616059181"/>
    <n v="1.5"/>
    <n v="3780.821917808219"/>
    <n v="3654.523038400458"/>
  </r>
  <r>
    <x v="0"/>
    <x v="1"/>
    <s v="Regular"/>
    <x v="0"/>
    <x v="15"/>
    <n v="-1000000"/>
    <n v="0.9640440905437129"/>
    <n v="1.5"/>
    <n v="3698.630136986301"/>
    <n v="3565.642526668526"/>
  </r>
  <r>
    <x v="0"/>
    <x v="1"/>
    <s v="Regular"/>
    <x v="0"/>
    <x v="16"/>
    <n v="-1000000"/>
    <n v="0.9614239649375126"/>
    <n v="1.5"/>
    <n v="3739.726027397261"/>
    <n v="3595.462225040287"/>
  </r>
  <r>
    <x v="0"/>
    <x v="1"/>
    <s v="Regular"/>
    <x v="0"/>
    <x v="17"/>
    <n v="-1000000"/>
    <n v="0.9587818032797976"/>
    <n v="1.5"/>
    <n v="3780.821917808219"/>
    <n v="3624.983256235947"/>
  </r>
  <r>
    <x v="0"/>
    <x v="1"/>
    <s v="Regular"/>
    <x v="0"/>
    <x v="18"/>
    <n v="-1000000"/>
    <n v="0.9559953137212169"/>
    <n v="1.5"/>
    <n v="3904.109589041096"/>
    <n v="3732.310471377354"/>
  </r>
  <r>
    <x v="0"/>
    <x v="1"/>
    <s v="Regular"/>
    <x v="0"/>
    <x v="19"/>
    <n v="-1000000"/>
    <n v="0.9533053882975433"/>
    <n v="1.5"/>
    <n v="3575.342465753425"/>
    <n v="3408.393237611765"/>
  </r>
  <r>
    <x v="0"/>
    <x v="1"/>
    <s v="Regular"/>
    <x v="0"/>
    <x v="20"/>
    <n v="-1000000"/>
    <n v="0.9505011063400991"/>
    <n v="1.5"/>
    <n v="3739.726027397261"/>
    <n v="3554.61372644996"/>
  </r>
  <r>
    <x v="0"/>
    <x v="1"/>
    <s v="Regular"/>
    <x v="0"/>
    <x v="21"/>
    <n v="-1000000"/>
    <n v="0.9477309071899942"/>
    <n v="1.5"/>
    <n v="3904.109589041096"/>
    <n v="3700.045322591073"/>
  </r>
  <r>
    <x v="0"/>
    <x v="1"/>
    <s v="Regular"/>
    <x v="0"/>
    <x v="22"/>
    <n v="-1000000"/>
    <n v="0.9450704661902685"/>
    <n v="1.5"/>
    <n v="3739.726027397261"/>
    <n v="3534.30462013621"/>
  </r>
  <r>
    <x v="0"/>
    <x v="1"/>
    <s v="Regular"/>
    <x v="0"/>
    <x v="23"/>
    <n v="-1000000"/>
    <n v="0.9424303024019304"/>
    <n v="1.5"/>
    <n v="3698.630136986301"/>
    <n v="3485.701118472893"/>
  </r>
  <r>
    <x v="0"/>
    <x v="1"/>
    <s v="Regular"/>
    <x v="0"/>
    <x v="24"/>
    <n v="-1000000"/>
    <n v="0.9397518639269696"/>
    <n v="1.5"/>
    <n v="3739.726027397261"/>
    <n v="3514.414504822777"/>
  </r>
  <r>
    <x v="0"/>
    <x v="1"/>
    <s v="Regular"/>
    <x v="0"/>
    <x v="25"/>
    <n v="-1000000"/>
    <n v="0.9370349760418407"/>
    <n v="1.5"/>
    <n v="3780.821917808219"/>
    <n v="3542.762375171891"/>
  </r>
  <r>
    <x v="0"/>
    <x v="1"/>
    <s v="Regular"/>
    <x v="0"/>
    <x v="26"/>
    <n v="-1000000"/>
    <n v="0.9343388223873651"/>
    <n v="1.5"/>
    <n v="3739.726027397261"/>
    <n v="3494.171212489735"/>
  </r>
  <r>
    <x v="0"/>
    <x v="1"/>
    <s v="Regular"/>
    <x v="0"/>
    <x v="27"/>
    <n v="-1000000"/>
    <n v="0.9316638093052729"/>
    <n v="1.5"/>
    <n v="3698.630136986301"/>
    <n v="3445.87984263594"/>
  </r>
  <r>
    <x v="0"/>
    <x v="1"/>
    <s v="Regular"/>
    <x v="0"/>
    <x v="28"/>
    <n v="-1000000"/>
    <n v="0.9289506109518191"/>
    <n v="1.5"/>
    <n v="3739.726027397261"/>
    <n v="3474.020777943104"/>
  </r>
  <r>
    <x v="0"/>
    <x v="1"/>
    <s v="Regular"/>
    <x v="0"/>
    <x v="29"/>
    <n v="-1000000"/>
    <n v="0.9260090753223215"/>
    <n v="1.5"/>
    <n v="3780.821917808219"/>
    <n v="3501.075408067955"/>
  </r>
  <r>
    <x v="0"/>
    <x v="1"/>
    <s v="Regular"/>
    <x v="0"/>
    <x v="30"/>
    <n v="-1000000"/>
    <n v="0.9226610372862449"/>
    <n v="1.5"/>
    <n v="3780.821917808219"/>
    <n v="3488.417072479502"/>
  </r>
  <r>
    <x v="0"/>
    <x v="1"/>
    <s v="Regular"/>
    <x v="0"/>
    <x v="31"/>
    <n v="-1000000"/>
    <n v="0.9193430392291496"/>
    <n v="1.5"/>
    <n v="3698.630136986301"/>
    <n v="3400.309871121512"/>
  </r>
  <r>
    <x v="0"/>
    <x v="1"/>
    <s v="Regular"/>
    <x v="0"/>
    <x v="32"/>
    <n v="-1000000"/>
    <n v="0.9159457487720792"/>
    <n v="1.5"/>
    <n v="3739.726027397261"/>
    <n v="3425.386156366817"/>
  </r>
  <r>
    <x v="0"/>
    <x v="1"/>
    <s v="Regular"/>
    <x v="0"/>
    <x v="33"/>
    <n v="-1000000"/>
    <n v="0.9124683327167922"/>
    <n v="1.5"/>
    <n v="3780.821917808219"/>
    <n v="3449.880271641571"/>
  </r>
  <r>
    <x v="0"/>
    <x v="1"/>
    <s v="Regular"/>
    <x v="0"/>
    <x v="34"/>
    <n v="-1000000"/>
    <n v="0.9088714907224514"/>
    <n v="1.5"/>
    <n v="3780.821917808219"/>
    <n v="3436.281252594474"/>
  </r>
  <r>
    <x v="0"/>
    <x v="1"/>
    <s v="Regular"/>
    <x v="0"/>
    <x v="35"/>
    <n v="-1000000"/>
    <n v="0.9054646422601471"/>
    <n v="1.5"/>
    <n v="3698.630136986301"/>
    <n v="3348.9788138389"/>
  </r>
  <r>
    <x v="0"/>
    <x v="1"/>
    <s v="Regular"/>
    <x v="0"/>
    <x v="36"/>
    <n v="-1000000"/>
    <n v="0.9019019544826983"/>
    <n v="1.5"/>
    <n v="3739.726027397261"/>
    <n v="3372.866213339406"/>
  </r>
  <r>
    <x v="0"/>
    <x v="1"/>
    <s v="Regular"/>
    <x v="0"/>
    <x v="37"/>
    <n v="-1000000"/>
    <n v="0.8981800495846276"/>
    <n v="1.5"/>
    <n v="3780.821917808219"/>
    <n v="3395.858817607633"/>
  </r>
  <r>
    <x v="0"/>
    <x v="1"/>
    <s v="Regular"/>
    <x v="0"/>
    <x v="38"/>
    <n v="-1000000"/>
    <n v="0.8944968540971578"/>
    <n v="1.5"/>
    <n v="3780.821917808219"/>
    <n v="3381.933311381035"/>
  </r>
  <r>
    <x v="0"/>
    <x v="1"/>
    <s v="Regular"/>
    <x v="0"/>
    <x v="39"/>
    <n v="-1000000"/>
    <n v="0.8908555738902724"/>
    <n v="1.5"/>
    <n v="3698.630136986301"/>
    <n v="3294.945273292788"/>
  </r>
  <r>
    <x v="0"/>
    <x v="1"/>
    <s v="Regular"/>
    <x v="0"/>
    <x v="40"/>
    <n v="-1000000"/>
    <n v="0.887094981950845"/>
    <n v="1.5"/>
    <n v="3739.726027397261"/>
    <n v="3317.492192775078"/>
  </r>
  <r>
    <x v="0"/>
    <x v="1"/>
    <s v="Regular"/>
    <x v="0"/>
    <x v="41"/>
    <n v="-1000000"/>
    <n v="0.8831700594390001"/>
    <n v="1.5"/>
    <n v="3780.821917808219"/>
    <n v="3339.108717878959"/>
  </r>
  <r>
    <x v="0"/>
    <x v="0"/>
    <s v="Exchange"/>
    <x v="0"/>
    <x v="42"/>
    <n v="-1000000"/>
    <n v="0.883355844082834"/>
    <m/>
    <n v="1000000"/>
    <n v="883355.844082834"/>
  </r>
  <r>
    <x v="0"/>
    <x v="0"/>
    <s v="Exchange"/>
    <x v="1"/>
    <x v="0"/>
    <n v="-4642485.53092613"/>
    <n v="0.9999777702172085"/>
    <m/>
    <n v="4642485.53092613"/>
    <n v="4642382.329481164"/>
  </r>
  <r>
    <x v="0"/>
    <x v="2"/>
    <s v="Stub"/>
    <x v="1"/>
    <x v="1"/>
    <n v="4642485.53092613"/>
    <n v="0.9997022122135535"/>
    <n v="0.4788211356414573"/>
    <n v="-1948.861540047854"/>
    <n v="-1948.281192883752"/>
  </r>
  <r>
    <x v="0"/>
    <x v="2"/>
    <s v="Regular"/>
    <x v="1"/>
    <x v="2"/>
    <n v="4642485.53092613"/>
    <n v="0.9991439449647873"/>
    <n v="0.5515515256503645"/>
    <n v="-6383.886792950041"/>
    <n v="-6378.421834516709"/>
  </r>
  <r>
    <x v="0"/>
    <x v="2"/>
    <s v="Regular"/>
    <x v="1"/>
    <x v="3"/>
    <n v="4642485.53092613"/>
    <n v="0.9980443640811066"/>
    <n v="0.6834808071524542"/>
    <n v="-7823.95830707913"/>
    <n v="-7808.657493185882"/>
  </r>
  <r>
    <x v="0"/>
    <x v="2"/>
    <s v="Regular"/>
    <x v="1"/>
    <x v="4"/>
    <n v="4642485.53092613"/>
    <n v="0.9967620014080782"/>
    <n v="0.7785335698980307"/>
    <n v="-9011.071393338645"/>
    <n v="-8981.893556855308"/>
  </r>
  <r>
    <x v="0"/>
    <x v="2"/>
    <s v="Regular"/>
    <x v="1"/>
    <x v="5"/>
    <n v="4642485.53092613"/>
    <n v="0.995395132590168"/>
    <n v="0.8648676788346938"/>
    <n v="-10120.34200094048"/>
    <n v="-10073.73916788399"/>
  </r>
  <r>
    <x v="0"/>
    <x v="2"/>
    <s v="Regular"/>
    <x v="1"/>
    <x v="6"/>
    <n v="4642485.53092613"/>
    <n v="0.9940682865478228"/>
    <n v="0.9294315778529917"/>
    <n v="-10757.62770814577"/>
    <n v="-10693.81654315584"/>
  </r>
  <r>
    <x v="0"/>
    <x v="2"/>
    <s v="Regular"/>
    <x v="1"/>
    <x v="7"/>
    <n v="4642485.53092613"/>
    <n v="0.9926257973996334"/>
    <n v="0.9851858269742864"/>
    <n v="-11277.64343096289"/>
    <n v="-11194.47980344828"/>
  </r>
  <r>
    <x v="0"/>
    <x v="2"/>
    <s v="Regular"/>
    <x v="1"/>
    <x v="8"/>
    <n v="4642485.53092613"/>
    <n v="0.9909975558061229"/>
    <n v="1.026392573178637"/>
    <n v="-11879.89460199725"/>
    <n v="-11772.94651381362"/>
  </r>
  <r>
    <x v="0"/>
    <x v="2"/>
    <s v="Regular"/>
    <x v="1"/>
    <x v="9"/>
    <n v="4642485.53092613"/>
    <n v="0.9892992793151369"/>
    <n v="1.042063582451791"/>
    <n v="-12193.81889186436"/>
    <n v="-12063.33624182071"/>
  </r>
  <r>
    <x v="0"/>
    <x v="2"/>
    <s v="Regular"/>
    <x v="1"/>
    <x v="10"/>
    <n v="4642485.53092613"/>
    <n v="0.9876588837117671"/>
    <n v="1.054137469007631"/>
    <n v="-12335.10277171786"/>
    <n v="-12182.87383398478"/>
  </r>
  <r>
    <x v="0"/>
    <x v="2"/>
    <s v="Regular"/>
    <x v="1"/>
    <x v="11"/>
    <n v="4642485.53092613"/>
    <n v="0.9859630993643534"/>
    <n v="1.09964208743654"/>
    <n v="-12727.71495044001"/>
    <n v="-12549.05728036185"/>
  </r>
  <r>
    <x v="0"/>
    <x v="2"/>
    <s v="Regular"/>
    <x v="1"/>
    <x v="12"/>
    <n v="4642485.53092613"/>
    <n v="0.9841948817784687"/>
    <n v="1.144668939058968"/>
    <n v="-13248.87446144236"/>
    <n v="-13039.47443427703"/>
  </r>
  <r>
    <x v="0"/>
    <x v="2"/>
    <s v="Regular"/>
    <x v="1"/>
    <x v="13"/>
    <n v="4642485.53092613"/>
    <n v="0.9823612282171562"/>
    <n v="1.169873947003908"/>
    <n v="-13689.40559511024"/>
    <n v="-13447.94129397531"/>
  </r>
  <r>
    <x v="0"/>
    <x v="2"/>
    <s v="Regular"/>
    <x v="1"/>
    <x v="14"/>
    <n v="4642485.53092613"/>
    <n v="0.9806310064229466"/>
    <n v="1.146878326690949"/>
    <n v="-13420.31987507908"/>
    <n v="-13160.38178561667"/>
  </r>
  <r>
    <x v="0"/>
    <x v="2"/>
    <s v="Regular"/>
    <x v="1"/>
    <x v="15"/>
    <n v="4642485.53092613"/>
    <n v="0.9788962781070137"/>
    <n v="1.178824433156507"/>
    <n v="-13494.26804654288"/>
    <n v="-13209.48876653923"/>
  </r>
  <r>
    <x v="0"/>
    <x v="2"/>
    <s v="Regular"/>
    <x v="1"/>
    <x v="16"/>
    <n v="4642485.53092613"/>
    <n v="0.9770801870739362"/>
    <n v="1.210653366509607"/>
    <n v="-14012.60567303822"/>
    <n v="-13691.43937240548"/>
  </r>
  <r>
    <x v="0"/>
    <x v="2"/>
    <s v="Regular"/>
    <x v="1"/>
    <x v="17"/>
    <n v="4642485.53092613"/>
    <n v="0.9752121738720861"/>
    <n v="1.234082892726911"/>
    <n v="-14440.75346732135"/>
    <n v="-14082.79858121732"/>
  </r>
  <r>
    <x v="0"/>
    <x v="2"/>
    <s v="Regular"/>
    <x v="1"/>
    <x v="18"/>
    <n v="4642485.53092613"/>
    <n v="0.9732030465487777"/>
    <n v="1.237967084422151"/>
    <n v="-14958.5809954329"/>
    <n v="-14557.73659680195"/>
  </r>
  <r>
    <x v="0"/>
    <x v="2"/>
    <s v="Regular"/>
    <x v="1"/>
    <x v="19"/>
    <n v="4642485.53092613"/>
    <n v="0.9712306946639886"/>
    <n v="1.265496322591221"/>
    <n v="-14003.53994342705"/>
    <n v="-13600.66782700956"/>
  </r>
  <r>
    <x v="0"/>
    <x v="2"/>
    <s v="Regular"/>
    <x v="1"/>
    <x v="20"/>
    <n v="4642485.53092613"/>
    <n v="0.9691411642460789"/>
    <n v="1.292677815845413"/>
    <n v="-14961.99077028078"/>
    <n v="-14500.281154549"/>
  </r>
  <r>
    <x v="0"/>
    <x v="2"/>
    <s v="Regular"/>
    <x v="1"/>
    <x v="21"/>
    <n v="4642485.53092613"/>
    <n v="0.9669839724851225"/>
    <n v="1.32325194737793"/>
    <n v="-15989.09347533772"/>
    <n v="-15461.19712521803"/>
  </r>
  <r>
    <x v="0"/>
    <x v="2"/>
    <s v="Regular"/>
    <x v="1"/>
    <x v="22"/>
    <n v="4642485.53092613"/>
    <n v="0.9647709315281739"/>
    <n v="1.357716529343366"/>
    <n v="-15714.77589518903"/>
    <n v="-15161.15897915801"/>
  </r>
  <r>
    <x v="0"/>
    <x v="2"/>
    <s v="Regular"/>
    <x v="1"/>
    <x v="23"/>
    <n v="4642485.53092613"/>
    <n v="0.9625297579284512"/>
    <n v="1.386019373932726"/>
    <n v="-15866.07506892979"/>
    <n v="-15271.56939537163"/>
  </r>
  <r>
    <x v="0"/>
    <x v="2"/>
    <s v="Regular"/>
    <x v="1"/>
    <x v="24"/>
    <n v="4642485.53092613"/>
    <n v="0.9602110440376356"/>
    <n v="1.41437678493094"/>
    <n v="-16370.58526296147"/>
    <n v="-15719.21676685536"/>
  </r>
  <r>
    <x v="0"/>
    <x v="2"/>
    <s v="Regular"/>
    <x v="1"/>
    <x v="25"/>
    <n v="4642485.53092613"/>
    <n v="0.9577406268163112"/>
    <n v="1.453629532148053"/>
    <n v="-17009.80204026935"/>
    <n v="-16290.97846806894"/>
  </r>
  <r>
    <x v="0"/>
    <x v="2"/>
    <s v="Regular"/>
    <x v="1"/>
    <x v="26"/>
    <n v="4642485.53092613"/>
    <n v="0.9551115724513097"/>
    <n v="1.512637173007768"/>
    <n v="-17507.8918690381"/>
    <n v="-16721.99013334448"/>
  </r>
  <r>
    <x v="0"/>
    <x v="2"/>
    <s v="Regular"/>
    <x v="1"/>
    <x v="27"/>
    <n v="4642485.53092613"/>
    <n v="0.9524460922781566"/>
    <n v="1.544121864616002"/>
    <n v="-17675.90978909539"/>
    <n v="-16835.35120608512"/>
  </r>
  <r>
    <x v="0"/>
    <x v="2"/>
    <s v="Regular"/>
    <x v="1"/>
    <x v="28"/>
    <n v="4642485.53092613"/>
    <n v="0.9496855513180609"/>
    <n v="1.575674265265385"/>
    <n v="-18237.50939707387"/>
    <n v="-17319.89916642841"/>
  </r>
  <r>
    <x v="0"/>
    <x v="2"/>
    <s v="Regular"/>
    <x v="1"/>
    <x v="29"/>
    <n v="4642485.53092613"/>
    <n v="0.9467900807820127"/>
    <n v="1.615821897587128"/>
    <n v="-18907.7134183389"/>
    <n v="-17901.63551475223"/>
  </r>
  <r>
    <x v="0"/>
    <x v="2"/>
    <s v="Regular"/>
    <x v="1"/>
    <x v="30"/>
    <n v="4642485.53092613"/>
    <n v="0.9437483093110195"/>
    <n v="1.675620057465463"/>
    <n v="-19607.44800642187"/>
    <n v="-18504.49590596436"/>
  </r>
  <r>
    <x v="0"/>
    <x v="2"/>
    <s v="Regular"/>
    <x v="1"/>
    <x v="31"/>
    <n v="4642485.53092613"/>
    <n v="0.9407024360680446"/>
    <n v="1.709675807279299"/>
    <n v="-19571.04295364859"/>
    <n v="-18410.52778288957"/>
  </r>
  <r>
    <x v="0"/>
    <x v="2"/>
    <s v="Regular"/>
    <x v="1"/>
    <x v="32"/>
    <n v="4642485.53092613"/>
    <n v="0.9375528565329103"/>
    <n v="1.743665253811551"/>
    <n v="-20181.9069796024"/>
    <n v="-18921.60453900771"/>
  </r>
  <r>
    <x v="0"/>
    <x v="2"/>
    <s v="Regular"/>
    <x v="1"/>
    <x v="33"/>
    <n v="4642485.53092613"/>
    <n v="0.9342655654464839"/>
    <n v="1.786627510866023"/>
    <n v="-20906.4136407728"/>
    <n v="-19532.14236155469"/>
  </r>
  <r>
    <x v="0"/>
    <x v="2"/>
    <s v="Regular"/>
    <x v="1"/>
    <x v="34"/>
    <n v="4642485.53092613"/>
    <n v="0.9307685180062764"/>
    <n v="1.848267142806394"/>
    <n v="-21627.69641190048"/>
    <n v="-20130.37893719427"/>
  </r>
  <r>
    <x v="0"/>
    <x v="2"/>
    <s v="Regular"/>
    <x v="1"/>
    <x v="35"/>
    <n v="4642485.53092613"/>
    <n v="0.9274242787489623"/>
    <n v="1.88444342054097"/>
    <n v="-21571.64707490235"/>
    <n v="-20006.06922986847"/>
  </r>
  <r>
    <x v="0"/>
    <x v="2"/>
    <s v="Regular"/>
    <x v="1"/>
    <x v="36"/>
    <n v="4642485.53092613"/>
    <n v="0.9238953122872581"/>
    <n v="1.920567507040834"/>
    <n v="-22229.44724649201"/>
    <n v="-20537.68210577086"/>
  </r>
  <r>
    <x v="0"/>
    <x v="2"/>
    <s v="Regular"/>
    <x v="1"/>
    <x v="37"/>
    <n v="4642485.53092613"/>
    <n v="0.9201396153531027"/>
    <n v="1.967551222426412"/>
    <n v="-23023.51187658352"/>
    <n v="-21184.84536219715"/>
  </r>
  <r>
    <x v="0"/>
    <x v="2"/>
    <s v="Regular"/>
    <x v="1"/>
    <x v="38"/>
    <n v="4642485.53092613"/>
    <n v="0.91632641381599"/>
    <n v="2.037052709645364"/>
    <n v="-23836.7909913465"/>
    <n v="-21842.28120598184"/>
  </r>
  <r>
    <x v="0"/>
    <x v="2"/>
    <s v="Regular"/>
    <x v="1"/>
    <x v="39"/>
    <n v="4642485.53092613"/>
    <n v="0.9125234536286393"/>
    <n v="2.075523973088837"/>
    <n v="-23758.98907599922"/>
    <n v="-21680.63476635592"/>
  </r>
  <r>
    <x v="0"/>
    <x v="2"/>
    <s v="Regular"/>
    <x v="1"/>
    <x v="40"/>
    <n v="4642485.53092613"/>
    <n v="0.9085627858742455"/>
    <n v="2.113961452359528"/>
    <n v="-24467.86921785856"/>
    <n v="-22230.59542098427"/>
  </r>
  <r>
    <x v="0"/>
    <x v="2"/>
    <s v="Regular"/>
    <x v="1"/>
    <x v="41"/>
    <n v="4642485.53092613"/>
    <n v="0.9045146250941745"/>
    <n v="2.171153958328015"/>
    <n v="-25405.99115067051"/>
    <n v="-22980.09056079465"/>
  </r>
  <r>
    <x v="0"/>
    <x v="0"/>
    <s v="Exchange"/>
    <x v="1"/>
    <x v="42"/>
    <n v="4642485.53092613"/>
    <n v="0.9046984307170443"/>
    <m/>
    <n v="-4642485.53092613"/>
    <n v="-4200049.374455454"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  <r>
    <x v="1"/>
    <x v="3"/>
    <m/>
    <x v="2"/>
    <x v="43"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樞紐分析表4" cacheId="0" dataOnRows="0" dataCaption="值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7" indent="0" showEmptyRow="0" showEmptyCol="0" showHeaders="0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K6:M47" firstHeaderRow="0" firstDataRow="1" firstDataCol="1" rowPageCount="3" colPageCount="1"/>
  <pivotFields count="10">
    <pivotField axis="axisPage" showDropDowns="1" compact="1" outline="1" subtotalTop="1" dragToRow="1" dragToCol="1" dragToPage="1" dragToData="1" dragOff="1" showAll="0" topAutoShow="1" itemPageCount="10" sortType="manual" defaultSubtotal="1">
      <items count="18">
        <item t="data" sd="1" m="1" x="3"/>
        <item t="data" sd="1" x="1"/>
        <item t="data" sd="1" m="1" x="6"/>
        <item t="data" sd="1" m="1" x="4"/>
        <item t="data" sd="1" x="0"/>
        <item t="data" sd="1" m="1" x="8"/>
        <item t="data" sd="1" m="1" x="10"/>
        <item t="data" sd="1" m="1" x="12"/>
        <item t="data" sd="1" m="1" x="13"/>
        <item t="data" sd="1" m="1" x="14"/>
        <item t="data" sd="1" m="1" x="15"/>
        <item t="data" sd="1" m="1" x="16"/>
        <item t="data" sd="1" m="1" x="2"/>
        <item t="data" sd="1" m="1" x="5"/>
        <item t="data" sd="1" m="1" x="7"/>
        <item t="data" sd="1" m="1" x="9"/>
        <item t="data" sd="1" m="1" x="11"/>
        <item t="default" sd="1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sd="1" x="2"/>
        <item t="data" h="1" sd="1" x="3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m="1" x="3"/>
        <item t="data" sd="1" x="2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ascending" defaultSubtotal="1">
      <items count="97">
        <item t="data" sd="1" m="1" x="66"/>
        <item t="data" sd="1" x="0"/>
        <item t="data" sd="1" m="1" x="95"/>
        <item t="data" sd="1" m="1" x="90"/>
        <item t="data" sd="1" m="1" x="79"/>
        <item t="data" sd="1" x="1"/>
        <item t="data" sd="1" m="1" x="68"/>
        <item t="data" sd="1" m="1" x="44"/>
        <item t="data" sd="1" x="2"/>
        <item t="data" sd="1" m="1" x="92"/>
        <item t="data" sd="1" x="3"/>
        <item t="data" sd="1" m="1" x="64"/>
        <item t="data" sd="1" x="4"/>
        <item t="data" sd="1" m="1" x="93"/>
        <item t="data" sd="1" x="5"/>
        <item t="data" sd="1" m="1" x="69"/>
        <item t="data" sd="1" x="6"/>
        <item t="data" sd="1" m="1" x="47"/>
        <item t="data" sd="1" x="7"/>
        <item t="data" sd="1" m="1" x="80"/>
        <item t="data" sd="1" x="8"/>
        <item t="data" sd="1" m="1" x="57"/>
        <item t="data" sd="1" x="9"/>
        <item t="data" sd="1" m="1" x="70"/>
        <item t="data" sd="1" x="10"/>
        <item t="data" sd="1" m="1" x="48"/>
        <item t="data" sd="1" x="11"/>
        <item t="data" sd="1" m="1" x="81"/>
        <item t="data" sd="1" x="12"/>
        <item t="data" sd="1" m="1" x="58"/>
        <item t="data" sd="1" x="13"/>
        <item t="data" sd="1" m="1" x="71"/>
        <item t="data" sd="1" x="14"/>
        <item t="data" sd="1" m="1" x="49"/>
        <item t="data" sd="1" x="15"/>
        <item t="data" sd="1" m="1" x="83"/>
        <item t="data" sd="1" m="1" x="73"/>
        <item t="data" sd="1" x="16"/>
        <item t="data" sd="1" m="1" x="59"/>
        <item t="data" sd="1" x="17"/>
        <item t="data" sd="1" m="1" x="45"/>
        <item t="data" sd="1" m="1" x="67"/>
        <item t="data" sd="1" x="18"/>
        <item t="data" sd="1" m="1" x="50"/>
        <item t="data" sd="1" x="19"/>
        <item t="data" sd="1" m="1" x="84"/>
        <item t="data" sd="1" m="1" x="76"/>
        <item t="data" sd="1" x="20"/>
        <item t="data" sd="1" m="1" x="85"/>
        <item t="data" sd="1" m="1" x="54"/>
        <item t="data" sd="1" x="21"/>
        <item t="data" sd="1" m="1" x="63"/>
        <item t="data" sd="1" m="1" x="91"/>
        <item t="data" sd="1" x="22"/>
        <item t="data" sd="1" m="1" x="74"/>
        <item t="data" sd="1" x="23"/>
        <item t="data" sd="1" m="1" x="52"/>
        <item t="data" sd="1" x="24"/>
        <item t="data" sd="1" m="1" x="94"/>
        <item t="data" sd="1" m="1" x="65"/>
        <item t="data" sd="1" x="25"/>
        <item t="data" sd="1" m="1" x="72"/>
        <item t="data" sd="1" m="1" x="46"/>
        <item t="data" sd="1" x="26"/>
        <item t="data" sd="1" m="1" x="51"/>
        <item t="data" sd="1" x="27"/>
        <item t="data" sd="1" m="1" x="86"/>
        <item t="data" sd="1" x="28"/>
        <item t="data" sd="1" m="1" x="60"/>
        <item t="data" sd="1" x="29"/>
        <item t="data" sd="1" m="1" x="75"/>
        <item t="data" sd="1" x="30"/>
        <item t="data" sd="1" m="1" x="53"/>
        <item t="data" sd="1" x="31"/>
        <item t="data" sd="1" m="1" x="87"/>
        <item t="data" sd="1" x="32"/>
        <item t="data" sd="1" m="1" x="61"/>
        <item t="data" sd="1" x="33"/>
        <item t="data" sd="1" m="1" x="77"/>
        <item t="data" sd="1" x="34"/>
        <item t="data" sd="1" m="1" x="55"/>
        <item t="data" sd="1" x="35"/>
        <item t="data" sd="1" m="1" x="88"/>
        <item t="data" sd="1" x="36"/>
        <item t="data" sd="1" m="1" x="62"/>
        <item t="data" sd="1" x="37"/>
        <item t="data" sd="1" m="1" x="78"/>
        <item t="data" sd="1" x="38"/>
        <item t="data" sd="1" m="1" x="56"/>
        <item t="data" sd="1" x="39"/>
        <item t="data" sd="1" m="1" x="89"/>
        <item t="data" sd="1" m="1" x="82"/>
        <item t="data" sd="1" x="40"/>
        <item t="data" sd="1" x="42"/>
        <item t="data" sd="1" x="41"/>
        <item t="data" sd="1" x="4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41">
    <i t="data" r="0" i="0">
      <x v="5"/>
    </i>
    <i t="data" r="0" i="0">
      <x v="8"/>
    </i>
    <i t="data" r="0" i="0">
      <x v="10"/>
    </i>
    <i t="data" r="0" i="0">
      <x v="12"/>
    </i>
    <i t="data" r="0" i="0">
      <x v="14"/>
    </i>
    <i t="data" r="0" i="0">
      <x v="16"/>
    </i>
    <i t="data" r="0" i="0">
      <x v="18"/>
    </i>
    <i t="data" r="0" i="0">
      <x v="20"/>
    </i>
    <i t="data" r="0" i="0">
      <x v="22"/>
    </i>
    <i t="data" r="0" i="0">
      <x v="24"/>
    </i>
    <i t="data" r="0" i="0">
      <x v="26"/>
    </i>
    <i t="data" r="0" i="0">
      <x v="28"/>
    </i>
    <i t="data" r="0" i="0">
      <x v="30"/>
    </i>
    <i t="data" r="0" i="0">
      <x v="32"/>
    </i>
    <i t="data" r="0" i="0">
      <x v="34"/>
    </i>
    <i t="data" r="0" i="0">
      <x v="37"/>
    </i>
    <i t="data" r="0" i="0">
      <x v="39"/>
    </i>
    <i t="data" r="0" i="0">
      <x v="42"/>
    </i>
    <i t="data" r="0" i="0">
      <x v="44"/>
    </i>
    <i t="data" r="0" i="0">
      <x v="47"/>
    </i>
    <i t="data" r="0" i="0">
      <x v="50"/>
    </i>
    <i t="data" r="0" i="0">
      <x v="53"/>
    </i>
    <i t="data" r="0" i="0">
      <x v="55"/>
    </i>
    <i t="data" r="0" i="0">
      <x v="57"/>
    </i>
    <i t="data" r="0" i="0">
      <x v="60"/>
    </i>
    <i t="data" r="0" i="0">
      <x v="63"/>
    </i>
    <i t="data" r="0" i="0">
      <x v="65"/>
    </i>
    <i t="data" r="0" i="0">
      <x v="67"/>
    </i>
    <i t="data" r="0" i="0">
      <x v="69"/>
    </i>
    <i t="data" r="0" i="0">
      <x v="71"/>
    </i>
    <i t="data" r="0" i="0">
      <x v="73"/>
    </i>
    <i t="data" r="0" i="0">
      <x v="75"/>
    </i>
    <i t="data" r="0" i="0">
      <x v="77"/>
    </i>
    <i t="data" r="0" i="0">
      <x v="79"/>
    </i>
    <i t="data" r="0" i="0">
      <x v="81"/>
    </i>
    <i t="data" r="0" i="0">
      <x v="83"/>
    </i>
    <i t="data" r="0" i="0">
      <x v="85"/>
    </i>
    <i t="data" r="0" i="0">
      <x v="87"/>
    </i>
    <i t="data" r="0" i="0">
      <x v="89"/>
    </i>
    <i t="data" r="0" i="0">
      <x v="92"/>
    </i>
    <i t="data" r="0" i="0">
      <x v="94"/>
    </i>
  </rowItems>
  <colFields count="1">
    <field x="-2"/>
  </colFields>
  <colItems count="2">
    <i t="data" r="0" i="0">
      <x v="0"/>
    </i>
    <i t="data" r="0" i="1">
      <x v="1"/>
    </i>
  </colItems>
  <pageFields count="3">
    <pageField fld="0" item="4" hier="-1"/>
    <pageField fld="1" hier="-1"/>
    <pageField fld="3" item="0" hier="-1"/>
  </pageFields>
  <dataFields count="2">
    <dataField name="加總 - Cashflow" fld="8" subtotal="sum" showDataAs="normal" baseField="0" baseItem="0"/>
    <dataField name="加總 - Rate" fld="7" subtotal="sum" showDataAs="normal" baseField="0" baseItem="0" numFmtId="2"/>
  </dataFields>
  <formats count="9">
    <format action="formatting" dxfId="21">
      <pivotArea type="all" dataOnly="0" outline="0" fieldPosition="0"/>
    </format>
    <format action="formatting" dxfId="20">
      <pivotArea type="normal" dataOnly="1" outline="0" collapsedLevelsAreSubtotals="1" fieldPosition="0"/>
    </format>
    <format action="formatting" dxfId="19">
      <pivotArea type="origin" dataOnly="0" labelOnly="1" outline="0" fieldPosition="0"/>
    </format>
    <format action="formatting" dxfId="18">
      <pivotArea field="-2" type="button" dataOnly="0" labelOnly="1" outline="0" axis="axisCol" fieldPosition="0"/>
    </format>
    <format action="formatting" dxfId="17">
      <pivotArea type="topRight" dataOnly="0" labelOnly="1" outline="0" fieldPosition="0"/>
    </format>
    <format action="formatting" dxfId="16">
      <pivotArea field="4" type="button" dataOnly="0" labelOnly="1" outline="0" axis="axisRow" fieldPosition="0"/>
    </format>
    <format action="formatting" dxfId="15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14">
      <pivotArea type="normal" dataOnly="1" outline="0" collapsedLevelsAreSubtotals="1" fieldPosition="0"/>
    </format>
    <format action="formatting" dxfId="13">
      <pivotArea type="normal" dataOnly="1" outline="0" collapsedLevelsAreSubtotals="1" fieldPosition="0">
        <references count="1">
          <reference field="4294967294" selected="0"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樞紐分析表5" cacheId="0" dataOnRows="0" dataCaption="值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7" indent="0" showEmptyRow="0" showEmptyCol="0" showHeaders="0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6:R47" firstHeaderRow="0" firstDataRow="1" firstDataCol="1" rowPageCount="3" colPageCount="1"/>
  <pivotFields count="10">
    <pivotField axis="axisPage" showDropDowns="1" compact="1" outline="1" subtotalTop="1" dragToRow="1" dragToCol="1" dragToPage="1" dragToData="1" dragOff="1" showAll="0" topAutoShow="1" itemPageCount="10" sortType="manual" defaultSubtotal="1">
      <items count="18">
        <item t="data" sd="1" m="1" x="3"/>
        <item t="data" sd="1" x="1"/>
        <item t="data" sd="1" m="1" x="6"/>
        <item t="data" sd="1" m="1" x="4"/>
        <item t="data" sd="1" x="0"/>
        <item t="data" sd="1" m="1" x="8"/>
        <item t="data" sd="1" m="1" x="10"/>
        <item t="data" sd="1" m="1" x="12"/>
        <item t="data" sd="1" m="1" x="13"/>
        <item t="data" sd="1" m="1" x="14"/>
        <item t="data" sd="1" m="1" x="15"/>
        <item t="data" sd="1" m="1" x="16"/>
        <item t="data" sd="1" m="1" x="2"/>
        <item t="data" sd="1" m="1" x="5"/>
        <item t="data" sd="1" m="1" x="7"/>
        <item t="data" sd="1" m="1" x="9"/>
        <item t="data" sd="1" m="1" x="11"/>
        <item t="default" sd="1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5">
        <item t="data" h="1" sd="1" x="0"/>
        <item t="data" sd="1" x="2"/>
        <item t="data" h="1" sd="1" x="3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m="1" x="3"/>
        <item t="data" sd="1" x="2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ascending" defaultSubtotal="1">
      <items count="97">
        <item t="data" sd="1" m="1" x="66"/>
        <item t="data" sd="1" x="0"/>
        <item t="data" sd="1" m="1" x="95"/>
        <item t="data" sd="1" m="1" x="90"/>
        <item t="data" sd="1" m="1" x="79"/>
        <item t="data" sd="1" x="1"/>
        <item t="data" sd="1" m="1" x="68"/>
        <item t="data" sd="1" m="1" x="44"/>
        <item t="data" sd="1" x="2"/>
        <item t="data" sd="1" m="1" x="92"/>
        <item t="data" sd="1" x="3"/>
        <item t="data" sd="1" m="1" x="64"/>
        <item t="data" sd="1" x="4"/>
        <item t="data" sd="1" m="1" x="93"/>
        <item t="data" sd="1" x="5"/>
        <item t="data" sd="1" m="1" x="69"/>
        <item t="data" sd="1" x="6"/>
        <item t="data" sd="1" m="1" x="47"/>
        <item t="data" sd="1" x="7"/>
        <item t="data" sd="1" m="1" x="80"/>
        <item t="data" sd="1" x="8"/>
        <item t="data" sd="1" m="1" x="57"/>
        <item t="data" sd="1" x="9"/>
        <item t="data" sd="1" m="1" x="70"/>
        <item t="data" sd="1" x="10"/>
        <item t="data" sd="1" m="1" x="48"/>
        <item t="data" sd="1" x="11"/>
        <item t="data" sd="1" m="1" x="81"/>
        <item t="data" sd="1" x="12"/>
        <item t="data" sd="1" m="1" x="58"/>
        <item t="data" sd="1" x="13"/>
        <item t="data" sd="1" m="1" x="71"/>
        <item t="data" sd="1" x="14"/>
        <item t="data" sd="1" m="1" x="49"/>
        <item t="data" sd="1" x="15"/>
        <item t="data" sd="1" m="1" x="83"/>
        <item t="data" sd="1" m="1" x="73"/>
        <item t="data" sd="1" x="16"/>
        <item t="data" sd="1" m="1" x="59"/>
        <item t="data" sd="1" x="17"/>
        <item t="data" sd="1" m="1" x="45"/>
        <item t="data" sd="1" m="1" x="67"/>
        <item t="data" sd="1" x="18"/>
        <item t="data" sd="1" m="1" x="50"/>
        <item t="data" sd="1" x="19"/>
        <item t="data" sd="1" m="1" x="84"/>
        <item t="data" sd="1" m="1" x="76"/>
        <item t="data" sd="1" x="20"/>
        <item t="data" sd="1" m="1" x="85"/>
        <item t="data" sd="1" m="1" x="54"/>
        <item t="data" sd="1" x="21"/>
        <item t="data" sd="1" m="1" x="63"/>
        <item t="data" sd="1" m="1" x="91"/>
        <item t="data" sd="1" x="22"/>
        <item t="data" sd="1" m="1" x="74"/>
        <item t="data" sd="1" x="23"/>
        <item t="data" sd="1" m="1" x="52"/>
        <item t="data" sd="1" x="24"/>
        <item t="data" sd="1" m="1" x="94"/>
        <item t="data" sd="1" m="1" x="65"/>
        <item t="data" sd="1" x="25"/>
        <item t="data" sd="1" m="1" x="72"/>
        <item t="data" sd="1" m="1" x="46"/>
        <item t="data" sd="1" x="26"/>
        <item t="data" sd="1" m="1" x="51"/>
        <item t="data" sd="1" x="27"/>
        <item t="data" sd="1" m="1" x="86"/>
        <item t="data" sd="1" x="28"/>
        <item t="data" sd="1" m="1" x="60"/>
        <item t="data" sd="1" x="29"/>
        <item t="data" sd="1" m="1" x="75"/>
        <item t="data" sd="1" x="30"/>
        <item t="data" sd="1" m="1" x="53"/>
        <item t="data" sd="1" x="31"/>
        <item t="data" sd="1" m="1" x="87"/>
        <item t="data" sd="1" x="32"/>
        <item t="data" sd="1" m="1" x="61"/>
        <item t="data" sd="1" x="33"/>
        <item t="data" sd="1" m="1" x="77"/>
        <item t="data" sd="1" x="34"/>
        <item t="data" sd="1" m="1" x="55"/>
        <item t="data" sd="1" x="35"/>
        <item t="data" sd="1" m="1" x="88"/>
        <item t="data" sd="1" x="36"/>
        <item t="data" sd="1" m="1" x="62"/>
        <item t="data" sd="1" x="37"/>
        <item t="data" sd="1" m="1" x="78"/>
        <item t="data" sd="1" x="38"/>
        <item t="data" sd="1" m="1" x="56"/>
        <item t="data" sd="1" x="39"/>
        <item t="data" sd="1" m="1" x="89"/>
        <item t="data" sd="1" m="1" x="82"/>
        <item t="data" sd="1" x="40"/>
        <item t="data" sd="1" x="42"/>
        <item t="data" sd="1" x="41"/>
        <item t="data" sd="1" x="4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41">
    <i t="data" r="0" i="0">
      <x v="5"/>
    </i>
    <i t="data" r="0" i="0">
      <x v="8"/>
    </i>
    <i t="data" r="0" i="0">
      <x v="10"/>
    </i>
    <i t="data" r="0" i="0">
      <x v="12"/>
    </i>
    <i t="data" r="0" i="0">
      <x v="14"/>
    </i>
    <i t="data" r="0" i="0">
      <x v="16"/>
    </i>
    <i t="data" r="0" i="0">
      <x v="18"/>
    </i>
    <i t="data" r="0" i="0">
      <x v="20"/>
    </i>
    <i t="data" r="0" i="0">
      <x v="22"/>
    </i>
    <i t="data" r="0" i="0">
      <x v="24"/>
    </i>
    <i t="data" r="0" i="0">
      <x v="26"/>
    </i>
    <i t="data" r="0" i="0">
      <x v="28"/>
    </i>
    <i t="data" r="0" i="0">
      <x v="30"/>
    </i>
    <i t="data" r="0" i="0">
      <x v="32"/>
    </i>
    <i t="data" r="0" i="0">
      <x v="34"/>
    </i>
    <i t="data" r="0" i="0">
      <x v="37"/>
    </i>
    <i t="data" r="0" i="0">
      <x v="39"/>
    </i>
    <i t="data" r="0" i="0">
      <x v="42"/>
    </i>
    <i t="data" r="0" i="0">
      <x v="44"/>
    </i>
    <i t="data" r="0" i="0">
      <x v="47"/>
    </i>
    <i t="data" r="0" i="0">
      <x v="50"/>
    </i>
    <i t="data" r="0" i="0">
      <x v="53"/>
    </i>
    <i t="data" r="0" i="0">
      <x v="55"/>
    </i>
    <i t="data" r="0" i="0">
      <x v="57"/>
    </i>
    <i t="data" r="0" i="0">
      <x v="60"/>
    </i>
    <i t="data" r="0" i="0">
      <x v="63"/>
    </i>
    <i t="data" r="0" i="0">
      <x v="65"/>
    </i>
    <i t="data" r="0" i="0">
      <x v="67"/>
    </i>
    <i t="data" r="0" i="0">
      <x v="69"/>
    </i>
    <i t="data" r="0" i="0">
      <x v="71"/>
    </i>
    <i t="data" r="0" i="0">
      <x v="73"/>
    </i>
    <i t="data" r="0" i="0">
      <x v="75"/>
    </i>
    <i t="data" r="0" i="0">
      <x v="77"/>
    </i>
    <i t="data" r="0" i="0">
      <x v="79"/>
    </i>
    <i t="data" r="0" i="0">
      <x v="81"/>
    </i>
    <i t="data" r="0" i="0">
      <x v="83"/>
    </i>
    <i t="data" r="0" i="0">
      <x v="85"/>
    </i>
    <i t="data" r="0" i="0">
      <x v="87"/>
    </i>
    <i t="data" r="0" i="0">
      <x v="89"/>
    </i>
    <i t="data" r="0" i="0">
      <x v="92"/>
    </i>
    <i t="data" r="0" i="0">
      <x v="94"/>
    </i>
  </rowItems>
  <colFields count="1">
    <field x="-2"/>
  </colFields>
  <colItems count="2">
    <i t="data" r="0" i="0">
      <x v="0"/>
    </i>
    <i t="data" r="0" i="1">
      <x v="1"/>
    </i>
  </colItems>
  <pageFields count="3">
    <pageField fld="0" item="4" hier="-1"/>
    <pageField fld="1" hier="-1"/>
    <pageField fld="3" item="3" hier="-1"/>
  </pageFields>
  <dataFields count="2">
    <dataField name="加總 - Cashflow" fld="8" subtotal="sum" showDataAs="normal" baseField="0" baseItem="0"/>
    <dataField name="加總 - Rate" fld="7" subtotal="sum" showDataAs="normal" baseField="0" baseItem="0" numFmtId="2"/>
  </dataFields>
  <formats count="9">
    <format action="formatting" dxfId="12">
      <pivotArea type="all" dataOnly="0" outline="0" fieldPosition="0"/>
    </format>
    <format action="formatting" dxfId="11">
      <pivotArea type="normal" dataOnly="1" outline="0" collapsedLevelsAreSubtotals="1" fieldPosition="0"/>
    </format>
    <format action="formatting" dxfId="10">
      <pivotArea type="origin" dataOnly="0" labelOnly="1" outline="0" fieldPosition="0"/>
    </format>
    <format action="formatting" dxfId="9">
      <pivotArea field="-2" type="button" dataOnly="0" labelOnly="1" outline="0" axis="axisCol" fieldPosition="0"/>
    </format>
    <format action="formatting" dxfId="8">
      <pivotArea type="topRight" dataOnly="0" labelOnly="1" outline="0" fieldPosition="0"/>
    </format>
    <format action="formatting" dxfId="7">
      <pivotArea field="4" type="button" dataOnly="0" labelOnly="1" outline="0" axis="axisRow" fieldPosition="0"/>
    </format>
    <format action="formatting" dxfId="6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  <format action="formatting" dxfId="5">
      <pivotArea type="normal" dataOnly="1" outline="0" collapsedLevelsAreSubtotals="1" fieldPosition="0">
        <references count="1">
          <reference field="4294967294" selected="0">
            <x v="0"/>
          </reference>
        </references>
      </pivotArea>
    </format>
    <format action="formatting" dxfId="4">
      <pivotArea type="normal" dataOnly="1" outline="0" collapsedLevelsAreSubtotals="1" fieldPosition="0">
        <references count="1">
          <reference field="4294967294" selected="0"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樞紐分析表3" cacheId="0" dataOnRows="0" dataCaption="值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E6:F8" firstHeaderRow="1" firstDataRow="1" firstDataCol="1" rowPageCount="3" colPageCount="1"/>
  <pivotFields count="10">
    <pivotField axis="axisPage" showDropDowns="1" compact="1" outline="1" subtotalTop="1" dragToRow="1" dragToCol="1" dragToPage="1" dragToData="1" dragOff="1" showAll="0" topAutoShow="1" itemPageCount="10" sortType="manual" defaultSubtotal="1">
      <items count="18">
        <item t="data" sd="1" m="1" x="3"/>
        <item t="data" sd="1" x="1"/>
        <item t="data" sd="1" m="1" x="6"/>
        <item t="data" sd="1" m="1" x="4"/>
        <item t="data" sd="1" x="0"/>
        <item t="data" sd="1" m="1" x="8"/>
        <item t="data" sd="1" m="1" x="10"/>
        <item t="data" sd="1" m="1" x="12"/>
        <item t="data" sd="1" m="1" x="13"/>
        <item t="data" sd="1" m="1" x="14"/>
        <item t="data" sd="1" m="1" x="15"/>
        <item t="data" sd="1" m="1" x="16"/>
        <item t="data" sd="1" m="1" x="2"/>
        <item t="data" sd="1" m="1" x="5"/>
        <item t="data" sd="1" m="1" x="7"/>
        <item t="data" sd="1" m="1" x="9"/>
        <item t="data" sd="1" m="1" x="11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2"/>
        <item t="data" sd="1" x="3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m="1" x="3"/>
        <item t="data" sd="1" x="2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ascending" defaultSubtotal="1">
      <items count="97">
        <item t="data" sd="1" m="1" x="66"/>
        <item t="data" sd="1" x="0"/>
        <item t="data" sd="1" m="1" x="95"/>
        <item t="data" sd="1" m="1" x="90"/>
        <item t="data" sd="1" m="1" x="79"/>
        <item t="data" sd="1" x="1"/>
        <item t="data" sd="1" m="1" x="68"/>
        <item t="data" sd="1" m="1" x="44"/>
        <item t="data" sd="1" x="2"/>
        <item t="data" sd="1" m="1" x="92"/>
        <item t="data" sd="1" x="3"/>
        <item t="data" sd="1" m="1" x="64"/>
        <item t="data" sd="1" x="4"/>
        <item t="data" sd="1" m="1" x="93"/>
        <item t="data" sd="1" x="5"/>
        <item t="data" sd="1" m="1" x="69"/>
        <item t="data" sd="1" x="6"/>
        <item t="data" sd="1" m="1" x="47"/>
        <item t="data" sd="1" x="7"/>
        <item t="data" sd="1" m="1" x="80"/>
        <item t="data" sd="1" x="8"/>
        <item t="data" sd="1" m="1" x="57"/>
        <item t="data" sd="1" x="9"/>
        <item t="data" sd="1" m="1" x="70"/>
        <item t="data" sd="1" x="10"/>
        <item t="data" sd="1" m="1" x="48"/>
        <item t="data" sd="1" x="11"/>
        <item t="data" sd="1" m="1" x="81"/>
        <item t="data" sd="1" x="12"/>
        <item t="data" sd="1" m="1" x="58"/>
        <item t="data" sd="1" x="13"/>
        <item t="data" sd="1" m="1" x="71"/>
        <item t="data" sd="1" x="14"/>
        <item t="data" sd="1" m="1" x="49"/>
        <item t="data" sd="1" x="15"/>
        <item t="data" sd="1" m="1" x="83"/>
        <item t="data" sd="1" m="1" x="73"/>
        <item t="data" sd="1" x="16"/>
        <item t="data" sd="1" m="1" x="59"/>
        <item t="data" sd="1" x="17"/>
        <item t="data" sd="1" m="1" x="45"/>
        <item t="data" sd="1" m="1" x="67"/>
        <item t="data" sd="1" x="18"/>
        <item t="data" sd="1" m="1" x="50"/>
        <item t="data" sd="1" x="19"/>
        <item t="data" sd="1" m="1" x="84"/>
        <item t="data" sd="1" m="1" x="76"/>
        <item t="data" sd="1" x="20"/>
        <item t="data" sd="1" m="1" x="85"/>
        <item t="data" sd="1" m="1" x="54"/>
        <item t="data" sd="1" x="21"/>
        <item t="data" sd="1" m="1" x="63"/>
        <item t="data" sd="1" m="1" x="91"/>
        <item t="data" sd="1" x="22"/>
        <item t="data" sd="1" m="1" x="74"/>
        <item t="data" sd="1" x="23"/>
        <item t="data" sd="1" m="1" x="52"/>
        <item t="data" sd="1" x="24"/>
        <item t="data" sd="1" m="1" x="94"/>
        <item t="data" sd="1" m="1" x="65"/>
        <item t="data" sd="1" x="25"/>
        <item t="data" sd="1" m="1" x="72"/>
        <item t="data" sd="1" m="1" x="46"/>
        <item t="data" sd="1" x="26"/>
        <item t="data" sd="1" m="1" x="51"/>
        <item t="data" sd="1" x="27"/>
        <item t="data" sd="1" m="1" x="86"/>
        <item t="data" sd="1" x="28"/>
        <item t="data" sd="1" m="1" x="60"/>
        <item t="data" sd="1" x="29"/>
        <item t="data" sd="1" m="1" x="75"/>
        <item t="data" sd="1" x="30"/>
        <item t="data" sd="1" m="1" x="53"/>
        <item t="data" sd="1" x="31"/>
        <item t="data" sd="1" m="1" x="87"/>
        <item t="data" sd="1" x="32"/>
        <item t="data" sd="1" m="1" x="61"/>
        <item t="data" sd="1" x="33"/>
        <item t="data" sd="1" m="1" x="77"/>
        <item t="data" sd="1" x="34"/>
        <item t="data" sd="1" m="1" x="55"/>
        <item t="data" sd="1" x="35"/>
        <item t="data" sd="1" m="1" x="88"/>
        <item t="data" sd="1" x="36"/>
        <item t="data" sd="1" m="1" x="62"/>
        <item t="data" sd="1" x="37"/>
        <item t="data" sd="1" m="1" x="78"/>
        <item t="data" sd="1" x="38"/>
        <item t="data" sd="1" m="1" x="56"/>
        <item t="data" sd="1" x="39"/>
        <item t="data" sd="1" m="1" x="89"/>
        <item t="data" sd="1" m="1" x="82"/>
        <item t="data" sd="1" x="40"/>
        <item t="data" sd="1" x="42"/>
        <item t="data" sd="1" x="41"/>
        <item t="data" sd="1" x="4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2">
    <i t="data" r="0" i="0">
      <x v="1"/>
    </i>
    <i t="data" r="0" i="0">
      <x v="93"/>
    </i>
  </rowItems>
  <colItems count="1">
    <i t="data" r="0" i="0"/>
  </colItems>
  <pageFields count="3">
    <pageField fld="0" item="4" hier="-1"/>
    <pageField fld="1" item="0" hier="-1"/>
    <pageField fld="3" item="3" hier="-1"/>
  </pageFields>
  <dataFields count="1">
    <dataField name="加總 - Cashflow" fld="8" subtotal="sum" showDataAs="normal" baseField="0" baseItem="0"/>
  </dataFields>
  <formats count="4">
    <format action="formatting" dxfId="3">
      <pivotArea type="all" dataOnly="0" outline="0" fieldPosition="0"/>
    </format>
    <format action="formatting" dxfId="2">
      <pivotArea type="normal" dataOnly="1" outline="0" collapsedLevelsAreSubtotals="1" fieldPosition="0"/>
    </format>
    <format action="formatting" dxfId="1">
      <pivotArea field="4" type="button" dataOnly="0" labelOnly="1" outline="0" axis="axisRow" fieldPosition="0"/>
    </format>
    <format action="formatting" dxfId="0">
      <pivotArea type="normal"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樞紐分析表2" cacheId="0" dataOnRows="0" dataCaption="值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:B8" firstHeaderRow="1" firstDataRow="1" firstDataCol="1" rowPageCount="3" colPageCount="1"/>
  <pivotFields count="10">
    <pivotField axis="axisPage" showDropDowns="1" compact="1" outline="1" subtotalTop="1" dragToRow="1" dragToCol="1" dragToPage="1" dragToData="1" dragOff="1" showAll="0" topAutoShow="1" itemPageCount="10" sortType="manual" defaultSubtotal="1">
      <items count="18">
        <item t="data" sd="1" m="1" x="3"/>
        <item t="data" sd="1" x="1"/>
        <item t="data" sd="1" m="1" x="6"/>
        <item t="data" sd="1" m="1" x="4"/>
        <item t="data" sd="1" x="0"/>
        <item t="data" sd="1" m="1" x="8"/>
        <item t="data" sd="1" m="1" x="10"/>
        <item t="data" sd="1" m="1" x="12"/>
        <item t="data" sd="1" m="1" x="13"/>
        <item t="data" sd="1" m="1" x="14"/>
        <item t="data" sd="1" m="1" x="15"/>
        <item t="data" sd="1" m="1" x="16"/>
        <item t="data" sd="1" m="1" x="2"/>
        <item t="data" sd="1" m="1" x="5"/>
        <item t="data" sd="1" m="1" x="7"/>
        <item t="data" sd="1" m="1" x="9"/>
        <item t="data" sd="1" m="1" x="11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2"/>
        <item t="data" sd="1" x="3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m="1" x="3"/>
        <item t="data" sd="1" x="2"/>
        <item t="data" sd="1" x="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ascending" defaultSubtotal="1">
      <items count="97">
        <item t="data" sd="1" m="1" x="66"/>
        <item t="data" sd="1" x="0"/>
        <item t="data" sd="1" m="1" x="95"/>
        <item t="data" sd="1" m="1" x="90"/>
        <item t="data" sd="1" m="1" x="79"/>
        <item t="data" sd="1" x="1"/>
        <item t="data" sd="1" m="1" x="68"/>
        <item t="data" sd="1" m="1" x="44"/>
        <item t="data" sd="1" x="2"/>
        <item t="data" sd="1" m="1" x="92"/>
        <item t="data" sd="1" x="3"/>
        <item t="data" sd="1" m="1" x="64"/>
        <item t="data" sd="1" x="4"/>
        <item t="data" sd="1" m="1" x="93"/>
        <item t="data" sd="1" x="5"/>
        <item t="data" sd="1" m="1" x="69"/>
        <item t="data" sd="1" x="6"/>
        <item t="data" sd="1" m="1" x="47"/>
        <item t="data" sd="1" x="7"/>
        <item t="data" sd="1" m="1" x="80"/>
        <item t="data" sd="1" x="8"/>
        <item t="data" sd="1" m="1" x="57"/>
        <item t="data" sd="1" x="9"/>
        <item t="data" sd="1" m="1" x="70"/>
        <item t="data" sd="1" x="10"/>
        <item t="data" sd="1" m="1" x="48"/>
        <item t="data" sd="1" x="11"/>
        <item t="data" sd="1" m="1" x="81"/>
        <item t="data" sd="1" x="12"/>
        <item t="data" sd="1" m="1" x="58"/>
        <item t="data" sd="1" x="13"/>
        <item t="data" sd="1" m="1" x="71"/>
        <item t="data" sd="1" x="14"/>
        <item t="data" sd="1" m="1" x="49"/>
        <item t="data" sd="1" x="15"/>
        <item t="data" sd="1" m="1" x="83"/>
        <item t="data" sd="1" m="1" x="73"/>
        <item t="data" sd="1" x="16"/>
        <item t="data" sd="1" m="1" x="59"/>
        <item t="data" sd="1" x="17"/>
        <item t="data" sd="1" m="1" x="45"/>
        <item t="data" sd="1" m="1" x="67"/>
        <item t="data" sd="1" x="18"/>
        <item t="data" sd="1" m="1" x="50"/>
        <item t="data" sd="1" x="19"/>
        <item t="data" sd="1" m="1" x="84"/>
        <item t="data" sd="1" m="1" x="76"/>
        <item t="data" sd="1" x="20"/>
        <item t="data" sd="1" m="1" x="85"/>
        <item t="data" sd="1" m="1" x="54"/>
        <item t="data" sd="1" x="21"/>
        <item t="data" sd="1" m="1" x="63"/>
        <item t="data" sd="1" m="1" x="91"/>
        <item t="data" sd="1" x="22"/>
        <item t="data" sd="1" m="1" x="74"/>
        <item t="data" sd="1" x="23"/>
        <item t="data" sd="1" m="1" x="52"/>
        <item t="data" sd="1" x="24"/>
        <item t="data" sd="1" m="1" x="94"/>
        <item t="data" sd="1" m="1" x="65"/>
        <item t="data" sd="1" x="25"/>
        <item t="data" sd="1" m="1" x="72"/>
        <item t="data" sd="1" m="1" x="46"/>
        <item t="data" sd="1" x="26"/>
        <item t="data" sd="1" m="1" x="51"/>
        <item t="data" sd="1" x="27"/>
        <item t="data" sd="1" m="1" x="86"/>
        <item t="data" sd="1" x="28"/>
        <item t="data" sd="1" m="1" x="60"/>
        <item t="data" sd="1" x="29"/>
        <item t="data" sd="1" m="1" x="75"/>
        <item t="data" sd="1" x="30"/>
        <item t="data" sd="1" m="1" x="53"/>
        <item t="data" sd="1" x="31"/>
        <item t="data" sd="1" m="1" x="87"/>
        <item t="data" sd="1" x="32"/>
        <item t="data" sd="1" m="1" x="61"/>
        <item t="data" sd="1" x="33"/>
        <item t="data" sd="1" m="1" x="77"/>
        <item t="data" sd="1" x="34"/>
        <item t="data" sd="1" m="1" x="55"/>
        <item t="data" sd="1" x="35"/>
        <item t="data" sd="1" m="1" x="88"/>
        <item t="data" sd="1" x="36"/>
        <item t="data" sd="1" m="1" x="62"/>
        <item t="data" sd="1" x="37"/>
        <item t="data" sd="1" m="1" x="78"/>
        <item t="data" sd="1" x="38"/>
        <item t="data" sd="1" m="1" x="56"/>
        <item t="data" sd="1" x="39"/>
        <item t="data" sd="1" m="1" x="89"/>
        <item t="data" sd="1" m="1" x="82"/>
        <item t="data" sd="1" x="40"/>
        <item t="data" sd="1" x="42"/>
        <item t="data" sd="1" x="41"/>
        <item t="data" sd="1" x="4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2">
    <i t="data" r="0" i="0">
      <x v="1"/>
    </i>
    <i t="data" r="0" i="0">
      <x v="93"/>
    </i>
  </rowItems>
  <colItems count="1">
    <i t="data" r="0" i="0"/>
  </colItems>
  <pageFields count="3">
    <pageField fld="0" item="4" hier="-1"/>
    <pageField fld="1" item="0" hier="-1"/>
    <pageField fld="3" item="0" hier="-1"/>
  </pageFields>
  <dataFields count="1">
    <dataField name="加總 - Cashflow" fld="8" subtotal="sum" showDataAs="normal" baseField="0" baseItem="0"/>
  </dataFields>
  <formats count="6">
    <format action="formatting" dxfId="27">
      <pivotArea type="all" dataOnly="0" outline="0" fieldPosition="0"/>
    </format>
    <format action="formatting" dxfId="26">
      <pivotArea field="4" type="button" dataOnly="0" labelOnly="1" outline="0" axis="axisRow" fieldPosition="0"/>
    </format>
    <format action="formatting" dxfId="25">
      <pivotArea type="normal" dataOnly="0" labelOnly="1" outline="0" axis="axisValues" fieldPosition="0"/>
    </format>
    <format action="formatting" dxfId="24">
      <pivotArea type="normal" dataOnly="1" outline="0" collapsedLevelsAreSubtotals="1" fieldPosition="0"/>
    </format>
    <format action="formatting" dxfId="23">
      <pivotArea type="normal" dataOnly="1" outline="0" collapsedLevelsAreSubtotals="1" fieldPosition="0"/>
    </format>
    <format action="formatting" dxfId="22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Relationship Type="http://schemas.openxmlformats.org/officeDocument/2006/relationships/pivotTable" Target="/xl/pivotTables/pivotTable4.xml" Id="rId4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AE4"/>
  <sheetViews>
    <sheetView tabSelected="1" zoomScaleNormal="100" workbookViewId="0">
      <selection activeCell="K2" sqref="K2"/>
    </sheetView>
  </sheetViews>
  <sheetFormatPr baseColWidth="8" defaultColWidth="9.140625" defaultRowHeight="15"/>
  <cols>
    <col width="9.5703125" bestFit="1" customWidth="1" style="40" min="1" max="1"/>
    <col width="11" bestFit="1" customWidth="1" style="23" min="2" max="2"/>
    <col width="11" customWidth="1" style="23" min="3" max="3"/>
    <col width="10.28515625" bestFit="1" customWidth="1" style="40" min="4" max="4"/>
    <col width="10.28515625" customWidth="1" style="40" min="5" max="6"/>
    <col width="16.5703125" bestFit="1" customWidth="1" style="40" min="7" max="7"/>
    <col width="13" customWidth="1" style="40" min="8" max="15"/>
    <col width="10.28515625" customWidth="1" style="40" min="16" max="16"/>
    <col width="16.5703125" bestFit="1" customWidth="1" style="40" min="17" max="17"/>
    <col width="13" customWidth="1" style="40" min="18" max="27"/>
    <col width="18.28515625" bestFit="1" customWidth="1" style="40" min="28" max="28"/>
    <col width="14.85546875" bestFit="1" customWidth="1" style="40" min="29" max="29"/>
    <col width="18.28515625" bestFit="1" customWidth="1" style="40" min="30" max="30"/>
    <col width="20.28515625" bestFit="1" customWidth="1" style="40" min="31" max="32"/>
    <col width="9.140625" customWidth="1" style="40" min="33" max="312"/>
    <col width="9.140625" customWidth="1" style="40" min="313" max="16384"/>
  </cols>
  <sheetData>
    <row r="1" ht="30" customHeight="1" s="22">
      <c r="A1" s="36" t="inlineStr">
        <is>
          <t>Booking
ID</t>
        </is>
      </c>
      <c r="B1" s="26" t="inlineStr">
        <is>
          <t>Effective
 Date</t>
        </is>
      </c>
      <c r="C1" s="26" t="inlineStr">
        <is>
          <t>Maturity
 Date</t>
        </is>
      </c>
      <c r="D1" s="36" t="inlineStr">
        <is>
          <t>S/B or 
B/S</t>
        </is>
      </c>
      <c r="E1" s="36" t="inlineStr">
        <is>
          <t>PL Currency</t>
        </is>
      </c>
      <c r="F1" s="24" t="inlineStr">
        <is>
          <t>Leg 1
 Currency</t>
        </is>
      </c>
      <c r="G1" s="24" t="inlineStr">
        <is>
          <t>Leg 1
Notional</t>
        </is>
      </c>
      <c r="H1" s="24" t="inlineStr">
        <is>
          <t>Leg 1
Fixed / Float</t>
        </is>
      </c>
      <c r="I1" s="24" t="inlineStr">
        <is>
          <t>Leg 1
Index</t>
        </is>
      </c>
      <c r="J1" s="24" t="inlineStr">
        <is>
          <t>Leg 1
Rate (%)</t>
        </is>
      </c>
      <c r="K1" s="24" t="inlineStr">
        <is>
          <t>Leg 1
Spread (bp)</t>
        </is>
      </c>
      <c r="L1" s="24" t="inlineStr">
        <is>
          <t>Leg 1
DayCount</t>
        </is>
      </c>
      <c r="M1" s="24" t="inlineStr">
        <is>
          <t>Leg 1
Pay Freq</t>
        </is>
      </c>
      <c r="N1" s="24" t="inlineStr">
        <is>
          <t>Leg 1
Restet Freq</t>
        </is>
      </c>
      <c r="O1" s="24" t="inlineStr">
        <is>
          <t>Leg 1
Calendar</t>
        </is>
      </c>
      <c r="P1" s="25" t="inlineStr">
        <is>
          <t>Leg 2
Currency</t>
        </is>
      </c>
      <c r="Q1" s="25" t="inlineStr">
        <is>
          <t>Leg 2
Notional</t>
        </is>
      </c>
      <c r="R1" s="25" t="inlineStr">
        <is>
          <t>Leg 2
Fixed / Float</t>
        </is>
      </c>
      <c r="S1" s="25" t="inlineStr">
        <is>
          <t>Leg 2
Index</t>
        </is>
      </c>
      <c r="T1" s="25" t="inlineStr">
        <is>
          <t>Leg 2
Rate (%)</t>
        </is>
      </c>
      <c r="U1" s="25" t="inlineStr">
        <is>
          <t>Leg 2
Spread (bp)</t>
        </is>
      </c>
      <c r="V1" s="25" t="inlineStr">
        <is>
          <t>Leg 2
DayCount</t>
        </is>
      </c>
      <c r="W1" s="25" t="inlineStr">
        <is>
          <t>Leg 2
Frequency</t>
        </is>
      </c>
      <c r="X1" s="25" t="inlineStr">
        <is>
          <t>Leg 2
Restet Freq</t>
        </is>
      </c>
      <c r="Y1" s="25" t="inlineStr">
        <is>
          <t>Leg 2
Calendar</t>
        </is>
      </c>
      <c r="Z1" s="27" t="inlineStr">
        <is>
          <t>Payment
Lag</t>
        </is>
      </c>
      <c r="AA1" s="27" t="inlineStr">
        <is>
          <t>Trade Status</t>
        </is>
      </c>
      <c r="AB1" s="28" t="inlineStr">
        <is>
          <t>Net NPV</t>
        </is>
      </c>
      <c r="AC1" s="28" t="inlineStr">
        <is>
          <t>Leg_1_NPV</t>
        </is>
      </c>
      <c r="AD1" s="28" t="inlineStr">
        <is>
          <t>Leg_2_NPV</t>
        </is>
      </c>
      <c r="AE1" s="28" t="inlineStr">
        <is>
          <t>Break_Even_Spread</t>
        </is>
      </c>
    </row>
    <row r="2" customFormat="1" s="38">
      <c r="A2" s="34" t="inlineStr">
        <is>
          <t>CCS-001</t>
        </is>
      </c>
      <c r="B2" s="35" t="n">
        <v>45912</v>
      </c>
      <c r="C2" s="35" t="n">
        <v>49594</v>
      </c>
      <c r="D2" s="34" t="inlineStr">
        <is>
          <t>B/S</t>
        </is>
      </c>
      <c r="E2" s="34" t="inlineStr">
        <is>
          <t>USD</t>
        </is>
      </c>
      <c r="F2" s="34" t="inlineStr">
        <is>
          <t>THB</t>
        </is>
      </c>
      <c r="G2" s="59" t="n">
        <v>1000000</v>
      </c>
      <c r="H2" s="34" t="inlineStr">
        <is>
          <t>Fixed</t>
        </is>
      </c>
      <c r="I2" s="34">
        <f>IF(H2="Fixed","",IF(F2="USD","SOFR",IF(F2="JPY","TONR",IF(F2="THB","THOR"))))</f>
        <v/>
      </c>
      <c r="J2" s="34" t="n">
        <v>1.5</v>
      </c>
      <c r="K2" s="59" t="n">
        <v>-38.55253115769344</v>
      </c>
      <c r="L2" s="34">
        <f>IF(F2="USD","Act360",IF(F2="JPY","Act365f",IF(F2="THB","Act365f")))</f>
        <v/>
      </c>
      <c r="M2" s="34" t="inlineStr">
        <is>
          <t>Q</t>
        </is>
      </c>
      <c r="N2" s="34" t="inlineStr">
        <is>
          <t>Q</t>
        </is>
      </c>
      <c r="O2" s="34">
        <f>IF(F2="USD","us",IF(F2="JPY","jp",IF(F2="THB","th")))</f>
        <v/>
      </c>
      <c r="P2" s="34" t="inlineStr">
        <is>
          <t>JPY</t>
        </is>
      </c>
      <c r="Q2" s="59">
        <f>G2/'Market Data'!AC2*'Market Data'!AD2</f>
        <v/>
      </c>
      <c r="R2" s="34" t="inlineStr">
        <is>
          <t>Float</t>
        </is>
      </c>
      <c r="S2" s="34">
        <f>IF(R2="Fixed","",IF(P2="USD","SOFR",IF(P2="JPY","TONR",IF(P2="THB","THOR"))))</f>
        <v/>
      </c>
      <c r="T2" s="34" t="n"/>
      <c r="U2" s="59" t="n"/>
      <c r="V2" s="34">
        <f t="array" ref="V2">_xlfn.IFS(P2="USD", "Act360", P2="JPY", "Act365f", P2="THB", "Act365f")</f>
        <v/>
      </c>
      <c r="W2" s="34" t="inlineStr">
        <is>
          <t>Q</t>
        </is>
      </c>
      <c r="X2" s="34" t="inlineStr">
        <is>
          <t>Q</t>
        </is>
      </c>
      <c r="Y2" s="34">
        <f>IF(P2="USD","us",IF(P2="JPY","jp",IF(P2="THB","th")))</f>
        <v/>
      </c>
      <c r="Z2" s="34" t="n">
        <v>2</v>
      </c>
      <c r="AA2" s="34" t="inlineStr">
        <is>
          <t>Live</t>
        </is>
      </c>
      <c r="AB2" s="59" t="n">
        <v>-384.0694502781464</v>
      </c>
      <c r="AC2" s="59" t="n">
        <v>26410.9587235346</v>
      </c>
      <c r="AD2" s="59" t="n">
        <v>-179249.1031824383</v>
      </c>
      <c r="AE2" s="59" t="n">
        <v>-38.55253115769344</v>
      </c>
    </row>
    <row r="3" ht="15.75" customHeight="1" s="22">
      <c r="A3" s="38" t="n"/>
      <c r="B3" s="39" t="n"/>
      <c r="C3" s="39" t="n"/>
      <c r="D3" s="38" t="n"/>
      <c r="E3" s="38" t="n"/>
      <c r="F3" s="38" t="n"/>
      <c r="G3" s="60" t="n"/>
      <c r="H3" s="38" t="n"/>
      <c r="I3" s="38" t="n"/>
      <c r="J3" s="38" t="n"/>
      <c r="K3" s="60" t="n"/>
      <c r="L3" s="38" t="n"/>
      <c r="M3" s="38" t="n"/>
      <c r="N3" s="38" t="n"/>
      <c r="O3" s="38" t="n"/>
      <c r="P3" s="38" t="n"/>
      <c r="Q3" s="60" t="n"/>
      <c r="R3" s="38" t="n"/>
      <c r="S3" s="38" t="n"/>
      <c r="T3" s="38" t="n"/>
      <c r="U3" s="60" t="n"/>
      <c r="V3" s="38" t="n"/>
      <c r="W3" s="38" t="n"/>
      <c r="X3" s="38" t="n"/>
      <c r="Y3" s="38" t="n"/>
      <c r="Z3" s="38" t="n"/>
      <c r="AA3" s="38" t="n"/>
      <c r="AB3" s="60" t="n"/>
      <c r="AC3" s="60" t="n"/>
      <c r="AD3" s="60" t="n"/>
      <c r="AE3" s="60" t="n"/>
    </row>
    <row r="4" ht="15.75" customHeight="1" s="22">
      <c r="A4" s="38" t="n"/>
      <c r="B4" s="39" t="n"/>
      <c r="C4" s="39" t="n"/>
      <c r="D4" s="38" t="n"/>
      <c r="E4" s="38" t="n"/>
      <c r="F4" s="38" t="n"/>
      <c r="G4" s="60" t="n"/>
      <c r="H4" s="38" t="n"/>
      <c r="I4" s="38" t="n"/>
      <c r="J4" s="38" t="n"/>
      <c r="K4" s="60" t="n"/>
      <c r="L4" s="38" t="n"/>
      <c r="M4" s="38" t="n"/>
      <c r="N4" s="38" t="n"/>
      <c r="O4" s="38" t="n"/>
      <c r="P4" s="38" t="n"/>
      <c r="Q4" s="60" t="n"/>
      <c r="R4" s="38" t="n"/>
      <c r="S4" s="38" t="n"/>
      <c r="T4" s="38" t="n"/>
      <c r="U4" s="60" t="n"/>
      <c r="V4" s="38" t="n"/>
      <c r="W4" s="38" t="n"/>
      <c r="X4" s="38" t="n"/>
      <c r="Y4" s="38" t="n"/>
      <c r="Z4" s="38" t="n"/>
      <c r="AA4" s="38" t="n"/>
      <c r="AB4" s="60" t="n"/>
      <c r="AC4" s="60" t="n"/>
      <c r="AD4" s="60" t="n"/>
      <c r="AE4" s="60" t="n"/>
    </row>
    <row r="5" ht="15.75" customHeight="1" s="22"/>
    <row r="6" ht="15.75" customHeight="1" s="22"/>
    <row r="7" ht="15.75" customHeight="1" s="22"/>
  </sheetData>
  <dataValidations count="5">
    <dataValidation sqref="E2:F4 P2:P4" showDropDown="0" showInputMessage="1" showErrorMessage="1" allowBlank="1" type="list">
      <formula1>"USD, JPY, THB"</formula1>
    </dataValidation>
    <dataValidation sqref="D2:D4" showDropDown="0" showInputMessage="1" showErrorMessage="1" allowBlank="1" type="list">
      <formula1>"B/S, S/B"</formula1>
    </dataValidation>
    <dataValidation sqref="H2:H4 R2:R4" showDropDown="0" showInputMessage="1" showErrorMessage="1" allowBlank="1" type="list">
      <formula1>"Fixed, Float"</formula1>
    </dataValidation>
    <dataValidation sqref="AA2:AA4" showDropDown="0" showInputMessage="1" showErrorMessage="1" allowBlank="1" type="list">
      <formula1>"Live, Dead"</formula1>
    </dataValidation>
    <dataValidation sqref="M2:N4 W2:X4" showDropDown="0" showInputMessage="1" showErrorMessage="1" allowBlank="1" type="list">
      <formula1>"M, Q, SA, A"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AE76"/>
  <sheetViews>
    <sheetView zoomScaleNormal="100" workbookViewId="0">
      <selection activeCell="I16" sqref="I16"/>
    </sheetView>
  </sheetViews>
  <sheetFormatPr baseColWidth="8" defaultColWidth="9.140625" defaultRowHeight="15"/>
  <cols>
    <col width="8.5703125" customWidth="1" style="57" min="1" max="1"/>
    <col width="9.7109375" bestFit="1" customWidth="1" style="57" min="2" max="2"/>
    <col width="9.140625" bestFit="1" customWidth="1" style="57" min="3" max="3"/>
    <col width="9.140625" customWidth="1" style="57" min="4" max="4"/>
    <col width="9" bestFit="1" customWidth="1" style="57" min="5" max="5"/>
    <col width="14.140625" customWidth="1" style="57" min="6" max="6"/>
    <col width="9.140625" customWidth="1" style="57" min="7" max="8"/>
    <col width="13.85546875" bestFit="1" customWidth="1" style="57" min="9" max="9"/>
    <col width="9.140625" bestFit="1" customWidth="1" style="57" min="10" max="10"/>
    <col width="7.85546875" bestFit="1" customWidth="1" style="57" min="11" max="11"/>
    <col width="8.7109375" bestFit="1" customWidth="1" style="57" min="12" max="12"/>
    <col width="9.140625" customWidth="1" style="57" min="13" max="13"/>
    <col width="8.85546875" customWidth="1" style="57" min="14" max="14"/>
    <col width="15.42578125" customWidth="1" style="57" min="15" max="15"/>
    <col width="10" bestFit="1" customWidth="1" style="57" min="16" max="16"/>
    <col width="7.7109375" bestFit="1" customWidth="1" style="57" min="17" max="17"/>
    <col width="9.85546875" bestFit="1" customWidth="1" style="57" min="18" max="18"/>
    <col width="9.140625" customWidth="1" style="57" min="19" max="19"/>
    <col width="10.42578125" customWidth="1" style="57" min="20" max="20"/>
    <col width="10.42578125" bestFit="1" customWidth="1" style="57" min="21" max="21"/>
    <col width="9.140625" customWidth="1" style="57" min="22" max="22"/>
    <col width="7.85546875" bestFit="1" customWidth="1" style="57" min="23" max="23"/>
    <col width="8.7109375" bestFit="1" customWidth="1" style="57" min="24" max="24"/>
    <col width="9.140625" customWidth="1" style="57" min="25" max="25"/>
    <col width="8.85546875" customWidth="1" style="57" min="26" max="26"/>
    <col width="15.42578125" customWidth="1" style="57" min="27" max="27"/>
    <col width="11.42578125" customWidth="1" style="57" min="28" max="28"/>
    <col width="9.140625" customWidth="1" style="57" min="29" max="29"/>
    <col width="10.140625" customWidth="1" style="57" min="30" max="30"/>
    <col width="20" customWidth="1" style="57" min="31" max="31"/>
    <col width="9.140625" customWidth="1" style="57" min="32" max="312"/>
    <col width="9.140625" customWidth="1" style="57" min="313" max="16384"/>
  </cols>
  <sheetData>
    <row r="1" ht="38.25" customFormat="1" customHeight="1" s="13">
      <c r="A1" s="5" t="inlineStr">
        <is>
          <t>US_Instrument</t>
        </is>
      </c>
      <c r="B1" s="6" t="inlineStr">
        <is>
          <t>US_Term</t>
        </is>
      </c>
      <c r="C1" s="6" t="inlineStr">
        <is>
          <t>US_Rate</t>
        </is>
      </c>
      <c r="D1" s="7" t="inlineStr">
        <is>
          <t>TH_Instrument</t>
        </is>
      </c>
      <c r="E1" s="8" t="inlineStr">
        <is>
          <t>TH_Term</t>
        </is>
      </c>
      <c r="F1" s="8" t="inlineStr">
        <is>
          <t>TH_Rate</t>
        </is>
      </c>
      <c r="G1" s="5" t="inlineStr">
        <is>
          <t>JP_Instrument</t>
        </is>
      </c>
      <c r="H1" s="6" t="inlineStr">
        <is>
          <t>JP_Term</t>
        </is>
      </c>
      <c r="I1" s="6" t="inlineStr">
        <is>
          <t>JP_Rate</t>
        </is>
      </c>
      <c r="J1" s="61" t="inlineStr">
        <is>
          <t>TH_Forward</t>
        </is>
      </c>
      <c r="K1" s="62" t="inlineStr">
        <is>
          <t>TF_Term</t>
        </is>
      </c>
      <c r="L1" s="62" t="inlineStr">
        <is>
          <t>TF_Rate</t>
        </is>
      </c>
      <c r="M1" s="9" t="inlineStr">
        <is>
          <t>UT_Instrument</t>
        </is>
      </c>
      <c r="N1" s="8" t="inlineStr">
        <is>
          <t>UT_Term</t>
        </is>
      </c>
      <c r="O1" s="8" t="inlineStr">
        <is>
          <t>UT_Rate</t>
        </is>
      </c>
      <c r="P1" s="63" t="inlineStr">
        <is>
          <t>JP_Forward</t>
        </is>
      </c>
      <c r="Q1" s="64" t="inlineStr">
        <is>
          <t>JF_Term</t>
        </is>
      </c>
      <c r="R1" s="64" t="inlineStr">
        <is>
          <t>JF_Rate</t>
        </is>
      </c>
      <c r="S1" s="10" t="inlineStr">
        <is>
          <t>UJ_Instrument</t>
        </is>
      </c>
      <c r="T1" s="6" t="inlineStr">
        <is>
          <t>UJ_Term</t>
        </is>
      </c>
      <c r="U1" s="6" t="inlineStr">
        <is>
          <t>UJ_Rate</t>
        </is>
      </c>
      <c r="V1" s="61" t="inlineStr">
        <is>
          <t>TJ_Forward</t>
        </is>
      </c>
      <c r="W1" s="62" t="inlineStr">
        <is>
          <t>TJ_Term</t>
        </is>
      </c>
      <c r="X1" s="62" t="inlineStr">
        <is>
          <t>TJ_Rate</t>
        </is>
      </c>
      <c r="Y1" s="9" t="inlineStr">
        <is>
          <t>TJ_Instrument</t>
        </is>
      </c>
      <c r="Z1" s="8" t="inlineStr">
        <is>
          <t>TJ_Term</t>
        </is>
      </c>
      <c r="AA1" s="8" t="inlineStr">
        <is>
          <t>TJ_Rate</t>
        </is>
      </c>
      <c r="AB1" s="11" t="inlineStr">
        <is>
          <t>Curve Date</t>
        </is>
      </c>
      <c r="AC1" s="11" t="inlineStr">
        <is>
          <t>USDTHB</t>
        </is>
      </c>
      <c r="AD1" s="11" t="inlineStr">
        <is>
          <t>USDJPY</t>
        </is>
      </c>
      <c r="AE1" s="12" t="inlineStr">
        <is>
          <t>CCS  Payment Lag for Curve Instrument Bootstrapping</t>
        </is>
      </c>
    </row>
    <row r="2">
      <c r="A2" s="14" t="inlineStr">
        <is>
          <t>IRS</t>
        </is>
      </c>
      <c r="B2" s="14" t="inlineStr">
        <is>
          <t>1W</t>
        </is>
      </c>
      <c r="C2" s="14" t="n">
        <v>4.3637</v>
      </c>
      <c r="D2" s="15" t="inlineStr">
        <is>
          <t>IRS</t>
        </is>
      </c>
      <c r="E2" s="15" t="inlineStr">
        <is>
          <t>1W</t>
        </is>
      </c>
      <c r="F2" s="15" t="n">
        <v>1.5</v>
      </c>
      <c r="G2" s="14" t="inlineStr">
        <is>
          <t>IRS</t>
        </is>
      </c>
      <c r="H2" s="14" t="inlineStr">
        <is>
          <t>1W</t>
        </is>
      </c>
      <c r="I2" s="65" t="n">
        <v>0.47873</v>
      </c>
      <c r="J2" s="66" t="n"/>
      <c r="K2" s="66" t="n"/>
      <c r="L2" s="66" t="n"/>
      <c r="M2" s="66" t="inlineStr">
        <is>
          <t>CCS</t>
        </is>
      </c>
      <c r="N2" s="66" t="inlineStr">
        <is>
          <t>1M</t>
        </is>
      </c>
      <c r="O2" s="67" t="n">
        <v>-10.0433</v>
      </c>
      <c r="P2" s="68" t="n"/>
      <c r="Q2" s="68" t="n"/>
      <c r="R2" s="68" t="n"/>
      <c r="S2" s="14" t="inlineStr">
        <is>
          <t>CCS</t>
        </is>
      </c>
      <c r="T2" s="14" t="inlineStr">
        <is>
          <t>1W</t>
        </is>
      </c>
      <c r="U2" s="16" t="n">
        <v>-7.55348</v>
      </c>
      <c r="V2" s="66" t="n"/>
      <c r="W2" s="66" t="n"/>
      <c r="X2" s="66" t="n"/>
      <c r="Y2" s="66" t="n"/>
      <c r="Z2" s="66" t="n"/>
      <c r="AA2" s="67" t="n"/>
      <c r="AB2" s="17" t="n">
        <v>45910</v>
      </c>
      <c r="AC2" s="69" t="n">
        <v>31.764127</v>
      </c>
      <c r="AD2" s="69" t="n">
        <v>147.4645</v>
      </c>
      <c r="AE2" s="57" t="n">
        <v>0</v>
      </c>
    </row>
    <row r="3">
      <c r="A3" s="14" t="inlineStr">
        <is>
          <t>IRS</t>
        </is>
      </c>
      <c r="B3" s="14" t="inlineStr">
        <is>
          <t>2W</t>
        </is>
      </c>
      <c r="C3" s="14" t="n">
        <v>4.23585</v>
      </c>
      <c r="D3" s="15" t="inlineStr">
        <is>
          <t>IRS</t>
        </is>
      </c>
      <c r="E3" s="15" t="inlineStr">
        <is>
          <t>2W</t>
        </is>
      </c>
      <c r="F3" s="15" t="n">
        <v>1.5</v>
      </c>
      <c r="G3" s="14" t="inlineStr">
        <is>
          <t>IRS</t>
        </is>
      </c>
      <c r="H3" s="14" t="inlineStr">
        <is>
          <t>2W</t>
        </is>
      </c>
      <c r="I3" s="14" t="n">
        <v>0.47875</v>
      </c>
      <c r="J3" s="66" t="n"/>
      <c r="K3" s="66" t="n"/>
      <c r="L3" s="66" t="n"/>
      <c r="M3" s="66" t="inlineStr">
        <is>
          <t>CCS</t>
        </is>
      </c>
      <c r="N3" s="66" t="inlineStr">
        <is>
          <t>2M</t>
        </is>
      </c>
      <c r="O3" s="67" t="n">
        <v>-7.15059</v>
      </c>
      <c r="P3" s="68" t="n"/>
      <c r="Q3" s="68" t="n"/>
      <c r="R3" s="68" t="n"/>
      <c r="S3" s="14" t="inlineStr">
        <is>
          <t>CCS</t>
        </is>
      </c>
      <c r="T3" s="14" t="inlineStr">
        <is>
          <t>1M</t>
        </is>
      </c>
      <c r="U3" s="16" t="n">
        <v>-18.61277</v>
      </c>
      <c r="V3" s="66" t="n"/>
      <c r="W3" s="66" t="n"/>
      <c r="X3" s="66" t="n"/>
      <c r="Y3" s="66" t="n"/>
      <c r="Z3" s="66" t="n"/>
      <c r="AA3" s="67" t="n"/>
    </row>
    <row r="4">
      <c r="A4" s="14" t="inlineStr">
        <is>
          <t>IRS</t>
        </is>
      </c>
      <c r="B4" s="14" t="inlineStr">
        <is>
          <t>3W</t>
        </is>
      </c>
      <c r="C4" s="14" t="n">
        <v>4.21635</v>
      </c>
      <c r="D4" s="15" t="inlineStr">
        <is>
          <t>IRS</t>
        </is>
      </c>
      <c r="E4" s="15" t="inlineStr">
        <is>
          <t>1M</t>
        </is>
      </c>
      <c r="F4" s="15" t="n">
        <v>1.46</v>
      </c>
      <c r="G4" s="14" t="inlineStr">
        <is>
          <t>IRS</t>
        </is>
      </c>
      <c r="H4" s="14" t="inlineStr">
        <is>
          <t>3W</t>
        </is>
      </c>
      <c r="I4" s="14" t="n">
        <v>0.47875</v>
      </c>
      <c r="J4" s="66" t="n"/>
      <c r="K4" s="66" t="n"/>
      <c r="L4" s="66" t="n"/>
      <c r="M4" s="66" t="inlineStr">
        <is>
          <t>CCS</t>
        </is>
      </c>
      <c r="N4" s="66" t="inlineStr">
        <is>
          <t>3M</t>
        </is>
      </c>
      <c r="O4" s="67" t="n">
        <v>-6.31578</v>
      </c>
      <c r="P4" s="68" t="n"/>
      <c r="Q4" s="68" t="n"/>
      <c r="R4" s="68" t="n"/>
      <c r="S4" s="14" t="inlineStr">
        <is>
          <t>CCS</t>
        </is>
      </c>
      <c r="T4" s="14" t="inlineStr">
        <is>
          <t>2M</t>
        </is>
      </c>
      <c r="U4" s="16" t="n">
        <v>-19.28523</v>
      </c>
      <c r="V4" s="66" t="n"/>
      <c r="W4" s="66" t="n"/>
      <c r="X4" s="66" t="n"/>
      <c r="Y4" s="66" t="n"/>
      <c r="Z4" s="66" t="n"/>
      <c r="AA4" s="67" t="n"/>
    </row>
    <row r="5">
      <c r="A5" s="14" t="inlineStr">
        <is>
          <t>IRS</t>
        </is>
      </c>
      <c r="B5" s="14" t="inlineStr">
        <is>
          <t>1M</t>
        </is>
      </c>
      <c r="C5" s="14" t="n">
        <v>4.18593</v>
      </c>
      <c r="D5" s="15" t="inlineStr">
        <is>
          <t>IRS</t>
        </is>
      </c>
      <c r="E5" s="15" t="inlineStr">
        <is>
          <t>2M</t>
        </is>
      </c>
      <c r="F5" s="15" t="n">
        <v>1.395</v>
      </c>
      <c r="G5" s="14" t="inlineStr">
        <is>
          <t>IRS</t>
        </is>
      </c>
      <c r="H5" s="14" t="inlineStr">
        <is>
          <t>1M</t>
        </is>
      </c>
      <c r="I5" s="14" t="n">
        <v>0.48025</v>
      </c>
      <c r="J5" s="66" t="n"/>
      <c r="K5" s="66" t="n"/>
      <c r="L5" s="66" t="n"/>
      <c r="M5" s="66" t="inlineStr">
        <is>
          <t>CCS</t>
        </is>
      </c>
      <c r="N5" s="66" t="inlineStr">
        <is>
          <t>6M</t>
        </is>
      </c>
      <c r="O5" s="67" t="n">
        <v>-11.89245</v>
      </c>
      <c r="P5" s="68" t="n"/>
      <c r="Q5" s="68" t="n"/>
      <c r="R5" s="68" t="n"/>
      <c r="S5" s="14" t="inlineStr">
        <is>
          <t>CCS</t>
        </is>
      </c>
      <c r="T5" s="14" t="inlineStr">
        <is>
          <t>3M</t>
        </is>
      </c>
      <c r="U5" s="16" t="n">
        <v>-19.74413</v>
      </c>
      <c r="V5" s="66" t="n"/>
      <c r="W5" s="66" t="n"/>
      <c r="X5" s="66" t="n"/>
      <c r="Y5" s="66" t="n"/>
      <c r="Z5" s="66" t="n"/>
      <c r="AA5" s="67" t="n"/>
    </row>
    <row r="6">
      <c r="A6" s="14" t="inlineStr">
        <is>
          <t>IRS</t>
        </is>
      </c>
      <c r="B6" s="14" t="inlineStr">
        <is>
          <t>2M</t>
        </is>
      </c>
      <c r="C6" s="14" t="n">
        <v>4.12204</v>
      </c>
      <c r="D6" s="15" t="inlineStr">
        <is>
          <t>IRS</t>
        </is>
      </c>
      <c r="E6" s="15" t="inlineStr">
        <is>
          <t>3M</t>
        </is>
      </c>
      <c r="F6" s="15" t="n">
        <v>1.365</v>
      </c>
      <c r="G6" s="14" t="inlineStr">
        <is>
          <t>IRS</t>
        </is>
      </c>
      <c r="H6" s="14" t="inlineStr">
        <is>
          <t>2M</t>
        </is>
      </c>
      <c r="I6" s="14" t="n">
        <v>0.49641</v>
      </c>
      <c r="J6" s="66" t="n"/>
      <c r="K6" s="66" t="n"/>
      <c r="L6" s="66" t="n"/>
      <c r="M6" s="66" t="inlineStr">
        <is>
          <t>CCS</t>
        </is>
      </c>
      <c r="N6" s="66" t="inlineStr">
        <is>
          <t>9M</t>
        </is>
      </c>
      <c r="O6" s="67" t="n">
        <v>-11.31024</v>
      </c>
      <c r="P6" s="68" t="n"/>
      <c r="Q6" s="68" t="n"/>
      <c r="R6" s="68" t="n"/>
      <c r="S6" s="14" t="inlineStr">
        <is>
          <t>CCS</t>
        </is>
      </c>
      <c r="T6" s="14" t="inlineStr">
        <is>
          <t>4M</t>
        </is>
      </c>
      <c r="U6" s="16" t="n">
        <v>-30.21901</v>
      </c>
      <c r="V6" s="66" t="n"/>
      <c r="W6" s="66" t="n"/>
      <c r="X6" s="66" t="n"/>
      <c r="Y6" s="66" t="n"/>
      <c r="Z6" s="66" t="n"/>
      <c r="AA6" s="67" t="n"/>
    </row>
    <row r="7">
      <c r="A7" s="14" t="inlineStr">
        <is>
          <t>IRS</t>
        </is>
      </c>
      <c r="B7" s="14" t="inlineStr">
        <is>
          <t>3M</t>
        </is>
      </c>
      <c r="C7" s="14" t="n">
        <v>4.06637</v>
      </c>
      <c r="D7" s="15" t="inlineStr">
        <is>
          <t>IRS</t>
        </is>
      </c>
      <c r="E7" s="15" t="inlineStr">
        <is>
          <t>6M</t>
        </is>
      </c>
      <c r="F7" s="15" t="n">
        <v>1.2525</v>
      </c>
      <c r="G7" s="14" t="inlineStr">
        <is>
          <t>IRS</t>
        </is>
      </c>
      <c r="H7" s="14" t="inlineStr">
        <is>
          <t>3M</t>
        </is>
      </c>
      <c r="I7" s="14" t="n">
        <v>0.51749</v>
      </c>
      <c r="J7" s="66" t="n"/>
      <c r="K7" s="66" t="n"/>
      <c r="L7" s="66" t="n"/>
      <c r="M7" s="66" t="inlineStr">
        <is>
          <t>CCS</t>
        </is>
      </c>
      <c r="N7" s="66" t="inlineStr">
        <is>
          <t>12M</t>
        </is>
      </c>
      <c r="O7" s="67">
        <f>-9.94994+0.01</f>
        <v/>
      </c>
      <c r="P7" s="68" t="n"/>
      <c r="Q7" s="68" t="n"/>
      <c r="R7" s="68" t="n"/>
      <c r="S7" s="14" t="inlineStr">
        <is>
          <t>CCS</t>
        </is>
      </c>
      <c r="T7" s="14" t="inlineStr">
        <is>
          <t>5M</t>
        </is>
      </c>
      <c r="U7" s="16" t="n">
        <v>-28.53503</v>
      </c>
      <c r="V7" s="66" t="n"/>
      <c r="W7" s="66" t="n"/>
      <c r="X7" s="66" t="n"/>
      <c r="Y7" s="66" t="n"/>
      <c r="Z7" s="66" t="n"/>
      <c r="AA7" s="67" t="n"/>
    </row>
    <row r="8">
      <c r="A8" s="14" t="inlineStr">
        <is>
          <t>IRS</t>
        </is>
      </c>
      <c r="B8" s="14" t="inlineStr">
        <is>
          <t>4M</t>
        </is>
      </c>
      <c r="C8" s="14" t="n">
        <v>3.9925</v>
      </c>
      <c r="D8" s="15" t="inlineStr">
        <is>
          <t>IRS</t>
        </is>
      </c>
      <c r="E8" s="15" t="inlineStr">
        <is>
          <t>9M</t>
        </is>
      </c>
      <c r="F8" s="15" t="n">
        <v>1.1575</v>
      </c>
      <c r="G8" s="14" t="inlineStr">
        <is>
          <t>IRS</t>
        </is>
      </c>
      <c r="H8" s="14" t="inlineStr">
        <is>
          <t>4M</t>
        </is>
      </c>
      <c r="I8" s="14" t="n">
        <v>0.54238</v>
      </c>
      <c r="J8" s="66" t="n"/>
      <c r="K8" s="66" t="n"/>
      <c r="L8" s="66" t="n"/>
      <c r="M8" s="66" t="inlineStr">
        <is>
          <t>CCS</t>
        </is>
      </c>
      <c r="N8" s="66" t="inlineStr">
        <is>
          <t>2Y</t>
        </is>
      </c>
      <c r="O8" s="67" t="n">
        <v>-3</v>
      </c>
      <c r="P8" s="68" t="n"/>
      <c r="Q8" s="68" t="n"/>
      <c r="R8" s="68" t="n"/>
      <c r="S8" s="14" t="inlineStr">
        <is>
          <t>CCS</t>
        </is>
      </c>
      <c r="T8" s="14" t="inlineStr">
        <is>
          <t>6M</t>
        </is>
      </c>
      <c r="U8" s="16" t="n">
        <v>-28.16481</v>
      </c>
      <c r="V8" s="66" t="n"/>
      <c r="W8" s="66" t="n"/>
      <c r="X8" s="66" t="n"/>
      <c r="Y8" s="66" t="n"/>
      <c r="Z8" s="66" t="n"/>
      <c r="AA8" s="67" t="n"/>
    </row>
    <row r="9">
      <c r="A9" s="14" t="inlineStr">
        <is>
          <t>IRS</t>
        </is>
      </c>
      <c r="B9" s="14" t="inlineStr">
        <is>
          <t>5M</t>
        </is>
      </c>
      <c r="C9" s="14" t="n">
        <v>3.93355</v>
      </c>
      <c r="D9" s="15" t="inlineStr">
        <is>
          <t>IRS</t>
        </is>
      </c>
      <c r="E9" s="15" t="inlineStr">
        <is>
          <t>1Y</t>
        </is>
      </c>
      <c r="F9" s="15" t="n">
        <v>1.0925</v>
      </c>
      <c r="G9" s="14" t="inlineStr">
        <is>
          <t>IRS</t>
        </is>
      </c>
      <c r="H9" s="14" t="inlineStr">
        <is>
          <t>5M</t>
        </is>
      </c>
      <c r="I9" s="14" t="n">
        <v>0.56684</v>
      </c>
      <c r="J9" s="66" t="n"/>
      <c r="K9" s="66" t="n"/>
      <c r="L9" s="66" t="n"/>
      <c r="M9" s="66" t="inlineStr">
        <is>
          <t>CCS</t>
        </is>
      </c>
      <c r="N9" s="66" t="inlineStr">
        <is>
          <t>3Y</t>
        </is>
      </c>
      <c r="O9" s="67" t="n">
        <v>-3</v>
      </c>
      <c r="P9" s="68" t="n"/>
      <c r="Q9" s="68" t="n"/>
      <c r="R9" s="68" t="n"/>
      <c r="S9" s="14" t="inlineStr">
        <is>
          <t>CCS</t>
        </is>
      </c>
      <c r="T9" s="14" t="inlineStr">
        <is>
          <t>9M</t>
        </is>
      </c>
      <c r="U9" s="16" t="n">
        <v>-27.63126</v>
      </c>
      <c r="V9" s="66" t="n"/>
      <c r="W9" s="66" t="n"/>
      <c r="X9" s="66" t="n"/>
      <c r="Y9" s="66" t="n"/>
      <c r="Z9" s="66" t="n"/>
      <c r="AA9" s="67" t="n"/>
    </row>
    <row r="10">
      <c r="A10" s="14" t="inlineStr">
        <is>
          <t>IRS</t>
        </is>
      </c>
      <c r="B10" s="14" t="inlineStr">
        <is>
          <t>6M</t>
        </is>
      </c>
      <c r="C10" s="14" t="n">
        <v>3.8882</v>
      </c>
      <c r="D10" s="15" t="inlineStr">
        <is>
          <t>IRS</t>
        </is>
      </c>
      <c r="E10" s="15" t="inlineStr">
        <is>
          <t>2Y</t>
        </is>
      </c>
      <c r="F10" s="15" t="n">
        <v>1.02</v>
      </c>
      <c r="G10" s="14" t="inlineStr">
        <is>
          <t>IRS</t>
        </is>
      </c>
      <c r="H10" s="14" t="inlineStr">
        <is>
          <t>6M</t>
        </is>
      </c>
      <c r="I10" s="14" t="n">
        <v>0.58592</v>
      </c>
      <c r="J10" s="66" t="n"/>
      <c r="K10" s="66" t="n"/>
      <c r="L10" s="66" t="n"/>
      <c r="M10" s="66" t="inlineStr">
        <is>
          <t>CCS</t>
        </is>
      </c>
      <c r="N10" s="66" t="inlineStr">
        <is>
          <t>4Y</t>
        </is>
      </c>
      <c r="O10" s="67" t="n">
        <v>-4.5</v>
      </c>
      <c r="P10" s="68" t="n"/>
      <c r="Q10" s="68" t="n"/>
      <c r="R10" s="68" t="n"/>
      <c r="S10" s="14" t="inlineStr">
        <is>
          <t>CCS</t>
        </is>
      </c>
      <c r="T10" s="14" t="inlineStr">
        <is>
          <t>12M</t>
        </is>
      </c>
      <c r="U10" s="16" t="n">
        <v>-28.16393</v>
      </c>
      <c r="V10" s="66" t="n"/>
      <c r="W10" s="66" t="n"/>
      <c r="X10" s="66" t="n"/>
      <c r="Y10" s="66" t="n"/>
      <c r="Z10" s="66" t="n"/>
      <c r="AA10" s="67" t="n"/>
    </row>
    <row r="11">
      <c r="A11" s="14" t="inlineStr">
        <is>
          <t>IRS</t>
        </is>
      </c>
      <c r="B11" s="14" t="inlineStr">
        <is>
          <t>7M</t>
        </is>
      </c>
      <c r="C11" s="14" t="n">
        <v>3.83797</v>
      </c>
      <c r="D11" s="15" t="inlineStr">
        <is>
          <t>IRS</t>
        </is>
      </c>
      <c r="E11" s="15" t="inlineStr">
        <is>
          <t>3Y</t>
        </is>
      </c>
      <c r="F11" s="15" t="n">
        <v>1.0375</v>
      </c>
      <c r="G11" s="14" t="inlineStr">
        <is>
          <t>IRS</t>
        </is>
      </c>
      <c r="H11" s="14" t="inlineStr">
        <is>
          <t>7M</t>
        </is>
      </c>
      <c r="I11" s="14" t="n">
        <v>0.60625</v>
      </c>
      <c r="J11" s="66" t="n"/>
      <c r="K11" s="66" t="n"/>
      <c r="L11" s="66" t="n"/>
      <c r="M11" s="66" t="inlineStr">
        <is>
          <t>CCS</t>
        </is>
      </c>
      <c r="N11" s="66" t="inlineStr">
        <is>
          <t>5Y</t>
        </is>
      </c>
      <c r="O11" s="67" t="n">
        <v>-6</v>
      </c>
      <c r="P11" s="68" t="n"/>
      <c r="Q11" s="68" t="n"/>
      <c r="R11" s="68" t="n"/>
      <c r="S11" s="14" t="inlineStr">
        <is>
          <t>CCS</t>
        </is>
      </c>
      <c r="T11" s="14" t="inlineStr">
        <is>
          <t>18M</t>
        </is>
      </c>
      <c r="U11" s="16" t="n">
        <v>-32.125</v>
      </c>
      <c r="V11" s="66" t="n"/>
      <c r="W11" s="66" t="n"/>
      <c r="X11" s="66" t="n"/>
      <c r="Y11" s="66" t="n"/>
      <c r="Z11" s="66" t="n"/>
      <c r="AA11" s="67" t="n"/>
    </row>
    <row r="12">
      <c r="A12" s="14" t="inlineStr">
        <is>
          <t>IRS</t>
        </is>
      </c>
      <c r="B12" s="14" t="inlineStr">
        <is>
          <t>8M</t>
        </is>
      </c>
      <c r="C12" s="14" t="n">
        <v>3.79665</v>
      </c>
      <c r="D12" s="15" t="inlineStr">
        <is>
          <t>IRS</t>
        </is>
      </c>
      <c r="E12" s="15" t="inlineStr">
        <is>
          <t>4Y</t>
        </is>
      </c>
      <c r="F12" s="15" t="n">
        <v>1.06875</v>
      </c>
      <c r="G12" s="14" t="inlineStr">
        <is>
          <t>IRS</t>
        </is>
      </c>
      <c r="H12" s="14" t="inlineStr">
        <is>
          <t>8M</t>
        </is>
      </c>
      <c r="I12" s="14" t="n">
        <v>0.62409</v>
      </c>
      <c r="J12" s="66" t="n"/>
      <c r="K12" s="66" t="n"/>
      <c r="L12" s="66" t="n"/>
      <c r="M12" s="66" t="inlineStr">
        <is>
          <t>CCS</t>
        </is>
      </c>
      <c r="N12" s="66" t="inlineStr">
        <is>
          <t>7Y</t>
        </is>
      </c>
      <c r="O12" s="67" t="n">
        <v>-13.5</v>
      </c>
      <c r="P12" s="68" t="n"/>
      <c r="Q12" s="68" t="n"/>
      <c r="R12" s="68" t="n"/>
      <c r="S12" s="14" t="inlineStr">
        <is>
          <t>CCS</t>
        </is>
      </c>
      <c r="T12" s="14" t="inlineStr">
        <is>
          <t>2Y</t>
        </is>
      </c>
      <c r="U12" s="16" t="n">
        <v>-33.188</v>
      </c>
      <c r="V12" s="66" t="n"/>
      <c r="W12" s="66" t="n"/>
      <c r="X12" s="66" t="n"/>
      <c r="Y12" s="66" t="n"/>
      <c r="Z12" s="66" t="n"/>
      <c r="AA12" s="67" t="n"/>
    </row>
    <row r="13">
      <c r="A13" s="14" t="inlineStr">
        <is>
          <t>IRS</t>
        </is>
      </c>
      <c r="B13" s="14" t="inlineStr">
        <is>
          <t>9M</t>
        </is>
      </c>
      <c r="C13" s="14" t="n">
        <v>3.7582</v>
      </c>
      <c r="D13" s="15" t="inlineStr">
        <is>
          <t>IRS</t>
        </is>
      </c>
      <c r="E13" s="15" t="inlineStr">
        <is>
          <t>5Y</t>
        </is>
      </c>
      <c r="F13" s="15" t="n">
        <v>1.11</v>
      </c>
      <c r="G13" s="14" t="inlineStr">
        <is>
          <t>IRS</t>
        </is>
      </c>
      <c r="H13" s="14" t="inlineStr">
        <is>
          <t>9M</t>
        </is>
      </c>
      <c r="I13" s="14" t="n">
        <v>0.64412</v>
      </c>
      <c r="J13" s="66" t="n"/>
      <c r="K13" s="66" t="n"/>
      <c r="L13" s="66" t="n"/>
      <c r="M13" s="66" t="inlineStr">
        <is>
          <t>CCS</t>
        </is>
      </c>
      <c r="N13" s="66" t="inlineStr">
        <is>
          <t>10Y</t>
        </is>
      </c>
      <c r="O13" s="67" t="n">
        <v>-17.5</v>
      </c>
      <c r="P13" s="68" t="n"/>
      <c r="Q13" s="68" t="n"/>
      <c r="R13" s="68" t="n"/>
      <c r="S13" s="14" t="inlineStr">
        <is>
          <t>CCS</t>
        </is>
      </c>
      <c r="T13" s="14" t="inlineStr">
        <is>
          <t>3Y</t>
        </is>
      </c>
      <c r="U13" s="16" t="n">
        <v>-36</v>
      </c>
      <c r="V13" s="66" t="n"/>
      <c r="W13" s="66" t="n"/>
      <c r="X13" s="66" t="n"/>
      <c r="Y13" s="66" t="n"/>
      <c r="Z13" s="66" t="n"/>
      <c r="AA13" s="67" t="n"/>
    </row>
    <row r="14">
      <c r="A14" s="14" t="inlineStr">
        <is>
          <t>IRS</t>
        </is>
      </c>
      <c r="B14" s="14" t="inlineStr">
        <is>
          <t>10M</t>
        </is>
      </c>
      <c r="C14" s="14" t="n">
        <v>3.71525</v>
      </c>
      <c r="D14" s="15" t="inlineStr">
        <is>
          <t>IRS</t>
        </is>
      </c>
      <c r="E14" s="15" t="inlineStr">
        <is>
          <t>7Y</t>
        </is>
      </c>
      <c r="F14" s="15" t="n">
        <v>1.2125</v>
      </c>
      <c r="G14" s="14" t="inlineStr">
        <is>
          <t>IRS</t>
        </is>
      </c>
      <c r="H14" s="14" t="inlineStr">
        <is>
          <t>10M</t>
        </is>
      </c>
      <c r="I14" s="14" t="n">
        <v>0.6607499999999999</v>
      </c>
      <c r="J14" s="66" t="n"/>
      <c r="K14" s="66" t="n"/>
      <c r="L14" s="66" t="n"/>
      <c r="M14" s="66" t="inlineStr">
        <is>
          <t>CCS</t>
        </is>
      </c>
      <c r="N14" s="66" t="inlineStr">
        <is>
          <t>12Y</t>
        </is>
      </c>
      <c r="O14" s="67" t="n">
        <v>-18.5</v>
      </c>
      <c r="P14" s="68" t="n"/>
      <c r="Q14" s="68" t="n"/>
      <c r="R14" s="68" t="n"/>
      <c r="S14" s="14" t="inlineStr">
        <is>
          <t>CCS</t>
        </is>
      </c>
      <c r="T14" s="68" t="inlineStr">
        <is>
          <t>4Y</t>
        </is>
      </c>
      <c r="U14" s="16" t="n">
        <v>-38.625</v>
      </c>
      <c r="V14" s="66" t="n"/>
      <c r="W14" s="66" t="n"/>
      <c r="X14" s="66" t="n"/>
      <c r="Y14" s="66" t="n"/>
      <c r="Z14" s="66" t="n"/>
      <c r="AA14" s="67" t="n"/>
    </row>
    <row r="15">
      <c r="A15" s="14" t="inlineStr">
        <is>
          <t>IRS</t>
        </is>
      </c>
      <c r="B15" s="14" t="inlineStr">
        <is>
          <t>11M</t>
        </is>
      </c>
      <c r="C15" s="14" t="n">
        <v>3.675</v>
      </c>
      <c r="D15" s="15" t="inlineStr">
        <is>
          <t>IRS</t>
        </is>
      </c>
      <c r="E15" s="15" t="inlineStr">
        <is>
          <t>10Y</t>
        </is>
      </c>
      <c r="F15" s="15" t="n">
        <v>1.39</v>
      </c>
      <c r="G15" s="14" t="inlineStr">
        <is>
          <t>IRS</t>
        </is>
      </c>
      <c r="H15" s="14" t="inlineStr">
        <is>
          <t>11M</t>
        </is>
      </c>
      <c r="I15" s="14" t="n">
        <v>0.67825</v>
      </c>
      <c r="J15" s="66" t="n"/>
      <c r="K15" s="66" t="n"/>
      <c r="L15" s="66" t="n"/>
      <c r="M15" s="66" t="inlineStr">
        <is>
          <t>CCS</t>
        </is>
      </c>
      <c r="N15" s="66" t="inlineStr">
        <is>
          <t>15Y</t>
        </is>
      </c>
      <c r="O15" s="67" t="n">
        <v>-19</v>
      </c>
      <c r="P15" s="68" t="n"/>
      <c r="Q15" s="68" t="n"/>
      <c r="R15" s="68" t="n"/>
      <c r="S15" s="14" t="inlineStr">
        <is>
          <t>CCS</t>
        </is>
      </c>
      <c r="T15" s="68" t="inlineStr">
        <is>
          <t>5Y</t>
        </is>
      </c>
      <c r="U15" s="16" t="n">
        <v>-39.625</v>
      </c>
      <c r="V15" s="66" t="n"/>
      <c r="W15" s="66" t="n"/>
      <c r="X15" s="66" t="n"/>
      <c r="Y15" s="66" t="n"/>
      <c r="Z15" s="66" t="n"/>
      <c r="AA15" s="67" t="n"/>
    </row>
    <row r="16">
      <c r="A16" s="14" t="inlineStr">
        <is>
          <t>IRS</t>
        </is>
      </c>
      <c r="B16" s="14" t="inlineStr">
        <is>
          <t>1Y</t>
        </is>
      </c>
      <c r="C16" s="14" t="n">
        <v>3.6339</v>
      </c>
      <c r="D16" s="15" t="inlineStr">
        <is>
          <t>IRS</t>
        </is>
      </c>
      <c r="E16" s="15" t="inlineStr">
        <is>
          <t>12Y</t>
        </is>
      </c>
      <c r="F16" s="15" t="n">
        <v>1.5275</v>
      </c>
      <c r="G16" s="14" t="inlineStr">
        <is>
          <t>IRS</t>
        </is>
      </c>
      <c r="H16" s="14" t="inlineStr">
        <is>
          <t>12M</t>
        </is>
      </c>
      <c r="I16" s="14" t="n">
        <v>0.6965</v>
      </c>
      <c r="J16" s="66" t="n"/>
      <c r="K16" s="66" t="n"/>
      <c r="L16" s="66" t="n"/>
      <c r="M16" s="66" t="inlineStr">
        <is>
          <t>CCS</t>
        </is>
      </c>
      <c r="N16" s="66" t="inlineStr">
        <is>
          <t>20Y</t>
        </is>
      </c>
      <c r="O16" s="67" t="n">
        <v>-20</v>
      </c>
      <c r="P16" s="68" t="n"/>
      <c r="Q16" s="68" t="n"/>
      <c r="R16" s="68" t="n"/>
      <c r="S16" s="14" t="inlineStr">
        <is>
          <t>CCS</t>
        </is>
      </c>
      <c r="T16" s="68" t="inlineStr">
        <is>
          <t>6Y</t>
        </is>
      </c>
      <c r="U16" s="16" t="n">
        <v>-40.438</v>
      </c>
      <c r="V16" s="66" t="n"/>
      <c r="W16" s="66" t="n"/>
      <c r="X16" s="66" t="n"/>
      <c r="Y16" s="66" t="n"/>
      <c r="Z16" s="66" t="n"/>
      <c r="AA16" s="67" t="n"/>
    </row>
    <row r="17">
      <c r="A17" s="14" t="inlineStr">
        <is>
          <t>IRS</t>
        </is>
      </c>
      <c r="B17" s="14" t="inlineStr">
        <is>
          <t>18M</t>
        </is>
      </c>
      <c r="C17" s="14" t="n">
        <v>3.4171</v>
      </c>
      <c r="D17" s="15" t="inlineStr">
        <is>
          <t>IRS</t>
        </is>
      </c>
      <c r="E17" s="15" t="inlineStr">
        <is>
          <t>15Y</t>
        </is>
      </c>
      <c r="F17" s="15" t="n">
        <v>1.7025</v>
      </c>
      <c r="G17" s="14" t="inlineStr">
        <is>
          <t>IRS</t>
        </is>
      </c>
      <c r="H17" s="14" t="inlineStr">
        <is>
          <t>15M</t>
        </is>
      </c>
      <c r="I17" s="14" t="n">
        <v>0.73993</v>
      </c>
      <c r="J17" s="66" t="n"/>
      <c r="K17" s="66" t="n"/>
      <c r="L17" s="66" t="n"/>
      <c r="M17" s="15" t="n"/>
      <c r="N17" s="15" t="n"/>
      <c r="O17" s="67" t="n"/>
      <c r="P17" s="68" t="n"/>
      <c r="Q17" s="68" t="n"/>
      <c r="R17" s="68" t="n"/>
      <c r="S17" s="14" t="inlineStr">
        <is>
          <t>CCS</t>
        </is>
      </c>
      <c r="T17" s="68" t="inlineStr">
        <is>
          <t>7Y</t>
        </is>
      </c>
      <c r="U17" s="16" t="n">
        <v>-40.562</v>
      </c>
      <c r="V17" s="66" t="n"/>
      <c r="W17" s="66" t="n"/>
      <c r="X17" s="66" t="n"/>
      <c r="Y17" s="15" t="n"/>
      <c r="Z17" s="15" t="n"/>
      <c r="AA17" s="67" t="n"/>
    </row>
    <row r="18">
      <c r="A18" s="14" t="inlineStr">
        <is>
          <t>IRS</t>
        </is>
      </c>
      <c r="B18" s="14" t="inlineStr">
        <is>
          <t>2Y</t>
        </is>
      </c>
      <c r="C18" s="14" t="n">
        <v>3.302</v>
      </c>
      <c r="D18" s="15" t="inlineStr">
        <is>
          <t>IRS</t>
        </is>
      </c>
      <c r="E18" s="15" t="inlineStr">
        <is>
          <t>20Y</t>
        </is>
      </c>
      <c r="F18" s="15" t="n">
        <v>1.8875</v>
      </c>
      <c r="G18" s="14" t="inlineStr">
        <is>
          <t>IRS</t>
        </is>
      </c>
      <c r="H18" s="14" t="inlineStr">
        <is>
          <t>18M</t>
        </is>
      </c>
      <c r="I18" s="14" t="n">
        <v>0.7777500000000001</v>
      </c>
      <c r="J18" s="66" t="n"/>
      <c r="K18" s="66" t="n"/>
      <c r="L18" s="66" t="n"/>
      <c r="M18" s="15" t="n"/>
      <c r="N18" s="15" t="n"/>
      <c r="O18" s="15" t="n"/>
      <c r="P18" s="68" t="n"/>
      <c r="Q18" s="68" t="n"/>
      <c r="R18" s="68" t="n"/>
      <c r="S18" s="14" t="inlineStr">
        <is>
          <t>CCS</t>
        </is>
      </c>
      <c r="T18" s="68" t="inlineStr">
        <is>
          <t>8Y</t>
        </is>
      </c>
      <c r="U18" s="16" t="n">
        <v>-40.5</v>
      </c>
      <c r="V18" s="66" t="n"/>
      <c r="W18" s="66" t="n"/>
      <c r="X18" s="66" t="n"/>
      <c r="Y18" s="15" t="n"/>
      <c r="Z18" s="15" t="n"/>
      <c r="AA18" s="15" t="n"/>
    </row>
    <row r="19">
      <c r="A19" s="14" t="inlineStr">
        <is>
          <t>IRS</t>
        </is>
      </c>
      <c r="B19" s="14" t="inlineStr">
        <is>
          <t>3Y</t>
        </is>
      </c>
      <c r="C19" s="14" t="n">
        <v>3.21275</v>
      </c>
      <c r="D19" s="15" t="n"/>
      <c r="E19" s="15" t="n"/>
      <c r="F19" s="15" t="n"/>
      <c r="G19" s="14" t="inlineStr">
        <is>
          <t>IRS</t>
        </is>
      </c>
      <c r="H19" s="14" t="inlineStr">
        <is>
          <t>21M</t>
        </is>
      </c>
      <c r="I19" s="14" t="n">
        <v>0.81375</v>
      </c>
      <c r="J19" s="66" t="n"/>
      <c r="K19" s="66" t="n"/>
      <c r="L19" s="66" t="n"/>
      <c r="M19" s="15" t="n"/>
      <c r="N19" s="15" t="n"/>
      <c r="O19" s="15" t="n"/>
      <c r="P19" s="68" t="n"/>
      <c r="Q19" s="68" t="n"/>
      <c r="R19" s="68" t="n"/>
      <c r="S19" s="14" t="inlineStr">
        <is>
          <t>CCS</t>
        </is>
      </c>
      <c r="T19" s="68" t="inlineStr">
        <is>
          <t>9Y</t>
        </is>
      </c>
      <c r="U19" s="16" t="n">
        <v>-40.375</v>
      </c>
      <c r="V19" s="66" t="n"/>
      <c r="W19" s="66" t="n"/>
      <c r="X19" s="66" t="n"/>
      <c r="Y19" s="15" t="n"/>
      <c r="Z19" s="15" t="n"/>
      <c r="AA19" s="15" t="n"/>
    </row>
    <row r="20">
      <c r="A20" s="14" t="inlineStr">
        <is>
          <t>IRS</t>
        </is>
      </c>
      <c r="B20" s="14" t="inlineStr">
        <is>
          <t>4Y</t>
        </is>
      </c>
      <c r="C20" s="14" t="n">
        <v>3.2039</v>
      </c>
      <c r="D20" s="15" t="n"/>
      <c r="E20" s="15" t="n"/>
      <c r="F20" s="15" t="n"/>
      <c r="G20" s="14" t="inlineStr">
        <is>
          <t>IRS</t>
        </is>
      </c>
      <c r="H20" s="14" t="inlineStr">
        <is>
          <t>2Y</t>
        </is>
      </c>
      <c r="I20" s="14" t="n">
        <v>0.8425</v>
      </c>
      <c r="J20" s="66" t="n"/>
      <c r="K20" s="66" t="n"/>
      <c r="L20" s="66" t="n"/>
      <c r="M20" s="15" t="n"/>
      <c r="N20" s="15" t="n"/>
      <c r="O20" s="15" t="n"/>
      <c r="P20" s="68" t="n"/>
      <c r="Q20" s="68" t="n"/>
      <c r="R20" s="68" t="n"/>
      <c r="S20" s="14" t="inlineStr">
        <is>
          <t>CCS</t>
        </is>
      </c>
      <c r="T20" s="68" t="inlineStr">
        <is>
          <t>10Y</t>
        </is>
      </c>
      <c r="U20" s="16" t="n">
        <v>-40.25</v>
      </c>
      <c r="V20" s="66" t="n"/>
      <c r="W20" s="66" t="n"/>
      <c r="X20" s="66" t="n"/>
      <c r="Y20" s="15" t="n"/>
      <c r="Z20" s="15" t="n"/>
      <c r="AA20" s="15" t="n"/>
    </row>
    <row r="21">
      <c r="A21" s="14" t="inlineStr">
        <is>
          <t>IRS</t>
        </is>
      </c>
      <c r="B21" s="14" t="inlineStr">
        <is>
          <t>5Y</t>
        </is>
      </c>
      <c r="C21" s="14" t="n">
        <v>3.22961</v>
      </c>
      <c r="D21" s="15" t="n"/>
      <c r="E21" s="15" t="n"/>
      <c r="F21" s="15" t="n"/>
      <c r="G21" s="14" t="inlineStr">
        <is>
          <t>IRS</t>
        </is>
      </c>
      <c r="H21" s="14" t="inlineStr">
        <is>
          <t>3Y</t>
        </is>
      </c>
      <c r="I21" s="14" t="n">
        <v>0.9325</v>
      </c>
      <c r="J21" s="66" t="n"/>
      <c r="K21" s="66" t="n"/>
      <c r="L21" s="66" t="n"/>
      <c r="M21" s="15" t="n"/>
      <c r="N21" s="15" t="n"/>
      <c r="O21" s="15" t="n"/>
      <c r="P21" s="68" t="n"/>
      <c r="Q21" s="68" t="n"/>
      <c r="R21" s="68" t="n"/>
      <c r="S21" s="14" t="inlineStr">
        <is>
          <t>CCS</t>
        </is>
      </c>
      <c r="T21" s="68" t="inlineStr">
        <is>
          <t>12Y</t>
        </is>
      </c>
      <c r="U21" s="16" t="n">
        <v>-39.75</v>
      </c>
      <c r="V21" s="66" t="n"/>
      <c r="W21" s="66" t="n"/>
      <c r="X21" s="66" t="n"/>
      <c r="Y21" s="15" t="n"/>
      <c r="Z21" s="15" t="n"/>
      <c r="AA21" s="15" t="n"/>
    </row>
    <row r="22">
      <c r="A22" s="14" t="inlineStr">
        <is>
          <t>IRS</t>
        </is>
      </c>
      <c r="B22" s="14" t="inlineStr">
        <is>
          <t>6Y</t>
        </is>
      </c>
      <c r="C22" s="14" t="n">
        <v>3.27845</v>
      </c>
      <c r="D22" s="15" t="n"/>
      <c r="E22" s="15" t="n"/>
      <c r="F22" s="15" t="n"/>
      <c r="G22" s="14" t="inlineStr">
        <is>
          <t>IRS</t>
        </is>
      </c>
      <c r="H22" s="14" t="inlineStr">
        <is>
          <t>4Y</t>
        </is>
      </c>
      <c r="I22" s="14" t="n">
        <v>0.99625</v>
      </c>
      <c r="J22" s="66" t="n"/>
      <c r="K22" s="66" t="n"/>
      <c r="L22" s="66" t="n"/>
      <c r="M22" s="15" t="n"/>
      <c r="N22" s="15" t="n"/>
      <c r="O22" s="15" t="n"/>
      <c r="P22" s="68" t="n"/>
      <c r="Q22" s="68" t="n"/>
      <c r="R22" s="68" t="n"/>
      <c r="S22" s="14" t="inlineStr">
        <is>
          <t>CCS</t>
        </is>
      </c>
      <c r="T22" s="68" t="inlineStr">
        <is>
          <t>15Y</t>
        </is>
      </c>
      <c r="U22" s="16" t="n">
        <v>-38.5</v>
      </c>
      <c r="V22" s="66" t="n"/>
      <c r="W22" s="66" t="n"/>
      <c r="X22" s="66" t="n"/>
      <c r="Y22" s="15" t="n"/>
      <c r="Z22" s="15" t="n"/>
      <c r="AA22" s="15" t="n"/>
    </row>
    <row r="23">
      <c r="A23" s="14" t="inlineStr">
        <is>
          <t>IRS</t>
        </is>
      </c>
      <c r="B23" s="14" t="inlineStr">
        <is>
          <t>7Y</t>
        </is>
      </c>
      <c r="C23" s="14" t="n">
        <v>3.33661</v>
      </c>
      <c r="D23" s="15" t="n"/>
      <c r="E23" s="15" t="n"/>
      <c r="F23" s="15" t="n"/>
      <c r="G23" s="14" t="inlineStr">
        <is>
          <t>IRS</t>
        </is>
      </c>
      <c r="H23" s="14" t="inlineStr">
        <is>
          <t>5Y</t>
        </is>
      </c>
      <c r="I23" s="14" t="n">
        <v>1.05125</v>
      </c>
      <c r="J23" s="66" t="n"/>
      <c r="K23" s="66" t="n"/>
      <c r="L23" s="66" t="n"/>
      <c r="M23" s="15" t="n"/>
      <c r="N23" s="15" t="n"/>
      <c r="O23" s="15" t="n"/>
      <c r="P23" s="68" t="n"/>
      <c r="Q23" s="68" t="n"/>
      <c r="R23" s="68" t="n"/>
      <c r="S23" s="14" t="inlineStr">
        <is>
          <t>CCS</t>
        </is>
      </c>
      <c r="T23" s="14" t="inlineStr">
        <is>
          <t>20Y</t>
        </is>
      </c>
      <c r="U23" s="16" t="n">
        <v>-35.75</v>
      </c>
      <c r="V23" s="66" t="n"/>
      <c r="W23" s="66" t="n"/>
      <c r="X23" s="66" t="n"/>
      <c r="Y23" s="15" t="n"/>
      <c r="Z23" s="15" t="n"/>
      <c r="AA23" s="15" t="n"/>
    </row>
    <row r="24">
      <c r="A24" s="14" t="inlineStr">
        <is>
          <t>IRS</t>
        </is>
      </c>
      <c r="B24" s="14" t="inlineStr">
        <is>
          <t>8Y</t>
        </is>
      </c>
      <c r="C24" s="14" t="n">
        <v>3.39917</v>
      </c>
      <c r="D24" s="15" t="n"/>
      <c r="E24" s="15" t="n"/>
      <c r="F24" s="15" t="n"/>
      <c r="G24" s="14" t="inlineStr">
        <is>
          <t>IRS</t>
        </is>
      </c>
      <c r="H24" s="14" t="inlineStr">
        <is>
          <t>6Y</t>
        </is>
      </c>
      <c r="I24" s="14" t="n">
        <v>1.1075</v>
      </c>
      <c r="J24" s="15" t="n"/>
      <c r="K24" s="15" t="n"/>
      <c r="L24" s="15" t="n"/>
      <c r="M24" s="15" t="n"/>
      <c r="N24" s="15" t="n"/>
      <c r="O24" s="15" t="n"/>
      <c r="P24" s="14" t="n"/>
      <c r="Q24" s="14" t="n"/>
      <c r="R24" s="14" t="n"/>
      <c r="S24" s="14" t="inlineStr">
        <is>
          <t>CCS</t>
        </is>
      </c>
      <c r="T24" s="14" t="inlineStr">
        <is>
          <t>30Y</t>
        </is>
      </c>
      <c r="U24" s="16" t="n">
        <v>-31</v>
      </c>
      <c r="V24" s="15" t="n"/>
      <c r="W24" s="15" t="n"/>
      <c r="X24" s="15" t="n"/>
      <c r="Y24" s="15" t="n"/>
      <c r="Z24" s="15" t="n"/>
      <c r="AA24" s="15" t="n"/>
    </row>
    <row r="25">
      <c r="A25" s="14" t="inlineStr">
        <is>
          <t>IRS</t>
        </is>
      </c>
      <c r="B25" s="14" t="inlineStr">
        <is>
          <t>9Y</t>
        </is>
      </c>
      <c r="C25" s="14" t="n">
        <v>3.46173</v>
      </c>
      <c r="D25" s="15" t="n"/>
      <c r="E25" s="15" t="n"/>
      <c r="F25" s="15" t="n"/>
      <c r="G25" s="14" t="inlineStr">
        <is>
          <t>IRS</t>
        </is>
      </c>
      <c r="H25" s="14" t="inlineStr">
        <is>
          <t>7Y</t>
        </is>
      </c>
      <c r="I25" s="14" t="n">
        <v>1.17</v>
      </c>
      <c r="J25" s="15" t="n"/>
      <c r="K25" s="15" t="n"/>
      <c r="L25" s="15" t="n"/>
      <c r="M25" s="15" t="n"/>
      <c r="N25" s="15" t="n"/>
      <c r="O25" s="15" t="n"/>
      <c r="P25" s="14" t="n"/>
      <c r="Q25" s="14" t="n"/>
      <c r="R25" s="14" t="n"/>
      <c r="S25" s="14" t="inlineStr">
        <is>
          <t>CCS</t>
        </is>
      </c>
      <c r="T25" s="14" t="inlineStr">
        <is>
          <t>40Y</t>
        </is>
      </c>
      <c r="U25" s="16" t="n">
        <v>-26.25</v>
      </c>
      <c r="V25" s="15" t="n"/>
      <c r="W25" s="15" t="n"/>
      <c r="X25" s="15" t="n"/>
      <c r="Y25" s="15" t="n"/>
      <c r="Z25" s="15" t="n"/>
      <c r="AA25" s="15" t="n"/>
    </row>
    <row r="26">
      <c r="A26" s="14" t="inlineStr">
        <is>
          <t>IRS</t>
        </is>
      </c>
      <c r="B26" s="14" t="inlineStr">
        <is>
          <t>10Y</t>
        </is>
      </c>
      <c r="C26" s="14" t="n">
        <v>3.5227</v>
      </c>
      <c r="D26" s="15" t="n"/>
      <c r="E26" s="15" t="n"/>
      <c r="F26" s="15" t="n"/>
      <c r="G26" s="14" t="inlineStr">
        <is>
          <t>IRS</t>
        </is>
      </c>
      <c r="H26" s="14" t="inlineStr">
        <is>
          <t>8Y</t>
        </is>
      </c>
      <c r="I26" s="14" t="n">
        <v>1.23625</v>
      </c>
      <c r="J26" s="15" t="n"/>
      <c r="K26" s="15" t="n"/>
      <c r="L26" s="15" t="n"/>
      <c r="M26" s="15" t="n"/>
      <c r="N26" s="15" t="n"/>
      <c r="O26" s="15" t="n"/>
      <c r="P26" s="14" t="n"/>
      <c r="Q26" s="14" t="n"/>
      <c r="R26" s="14" t="n"/>
      <c r="S26" s="14" t="n"/>
      <c r="T26" s="14" t="n"/>
      <c r="U26" s="14" t="n"/>
      <c r="V26" s="15" t="n"/>
      <c r="W26" s="15" t="n"/>
      <c r="X26" s="15" t="n"/>
      <c r="Y26" s="15" t="n"/>
      <c r="Z26" s="15" t="n"/>
      <c r="AA26" s="15" t="n"/>
    </row>
    <row r="27">
      <c r="A27" s="14" t="inlineStr">
        <is>
          <t>IRS</t>
        </is>
      </c>
      <c r="B27" s="14" t="inlineStr">
        <is>
          <t>12Y</t>
        </is>
      </c>
      <c r="C27" s="14" t="n">
        <v>3.6365</v>
      </c>
      <c r="D27" s="15" t="n"/>
      <c r="E27" s="15" t="n"/>
      <c r="F27" s="15" t="n"/>
      <c r="G27" s="14" t="inlineStr">
        <is>
          <t>IRS</t>
        </is>
      </c>
      <c r="H27" s="14" t="inlineStr">
        <is>
          <t>9Y</t>
        </is>
      </c>
      <c r="I27" s="14" t="n">
        <v>1.30625</v>
      </c>
      <c r="J27" s="15" t="n"/>
      <c r="K27" s="15" t="n"/>
      <c r="L27" s="15" t="n"/>
      <c r="M27" s="15" t="n"/>
      <c r="N27" s="15" t="n"/>
      <c r="O27" s="15" t="n"/>
      <c r="P27" s="14" t="n"/>
      <c r="Q27" s="14" t="n"/>
      <c r="R27" s="14" t="n"/>
      <c r="S27" s="14" t="n"/>
      <c r="T27" s="14" t="n"/>
      <c r="U27" s="14" t="n"/>
      <c r="V27" s="15" t="n"/>
      <c r="W27" s="15" t="n"/>
      <c r="X27" s="15" t="n"/>
      <c r="Y27" s="15" t="n"/>
      <c r="Z27" s="15" t="n"/>
      <c r="AA27" s="15" t="n"/>
    </row>
    <row r="28">
      <c r="A28" s="14" t="inlineStr">
        <is>
          <t>IRS</t>
        </is>
      </c>
      <c r="B28" s="14" t="inlineStr">
        <is>
          <t>15Y</t>
        </is>
      </c>
      <c r="C28" s="14" t="n">
        <v>3.7682</v>
      </c>
      <c r="D28" s="15" t="n"/>
      <c r="E28" s="15" t="n"/>
      <c r="F28" s="15" t="n"/>
      <c r="G28" s="14" t="inlineStr">
        <is>
          <t>IRS</t>
        </is>
      </c>
      <c r="H28" s="14" t="inlineStr">
        <is>
          <t>10Y</t>
        </is>
      </c>
      <c r="I28" s="14" t="n">
        <v>1.38</v>
      </c>
      <c r="J28" s="15" t="n"/>
      <c r="K28" s="15" t="n"/>
      <c r="L28" s="15" t="n"/>
      <c r="M28" s="15" t="n"/>
      <c r="N28" s="15" t="n"/>
      <c r="O28" s="15" t="n"/>
      <c r="P28" s="14" t="n"/>
      <c r="Q28" s="14" t="n"/>
      <c r="R28" s="14" t="n"/>
      <c r="S28" s="14" t="n"/>
      <c r="T28" s="14" t="n"/>
      <c r="U28" s="14" t="n"/>
      <c r="V28" s="15" t="n"/>
      <c r="W28" s="15" t="n"/>
      <c r="X28" s="15" t="n"/>
      <c r="Y28" s="15" t="n"/>
      <c r="Z28" s="15" t="n"/>
      <c r="AA28" s="15" t="n"/>
    </row>
    <row r="29">
      <c r="A29" s="14" t="inlineStr">
        <is>
          <t>IRS</t>
        </is>
      </c>
      <c r="B29" s="14" t="inlineStr">
        <is>
          <t>20Y</t>
        </is>
      </c>
      <c r="C29" s="14" t="n">
        <v>3.8815</v>
      </c>
      <c r="D29" s="15" t="n"/>
      <c r="E29" s="15" t="n"/>
      <c r="F29" s="15" t="n"/>
      <c r="G29" s="14" t="inlineStr">
        <is>
          <t>IRS</t>
        </is>
      </c>
      <c r="H29" s="14" t="inlineStr">
        <is>
          <t>11Y</t>
        </is>
      </c>
      <c r="I29" s="14" t="n">
        <v>1.46</v>
      </c>
      <c r="J29" s="15" t="n"/>
      <c r="K29" s="15" t="n"/>
      <c r="L29" s="15" t="n"/>
      <c r="M29" s="15" t="n"/>
      <c r="N29" s="15" t="n"/>
      <c r="O29" s="15" t="n"/>
      <c r="P29" s="14" t="n"/>
      <c r="Q29" s="14" t="n"/>
      <c r="R29" s="14" t="n"/>
      <c r="S29" s="14" t="n"/>
      <c r="T29" s="14" t="n"/>
      <c r="U29" s="14" t="n"/>
      <c r="V29" s="15" t="n"/>
      <c r="W29" s="15" t="n"/>
      <c r="X29" s="15" t="n"/>
      <c r="Y29" s="15" t="n"/>
      <c r="Z29" s="15" t="n"/>
      <c r="AA29" s="15" t="n"/>
    </row>
    <row r="30">
      <c r="A30" s="14" t="inlineStr">
        <is>
          <t>IRS</t>
        </is>
      </c>
      <c r="B30" s="14" t="inlineStr">
        <is>
          <t>25Y</t>
        </is>
      </c>
      <c r="C30" s="14" t="n">
        <v>3.8985</v>
      </c>
      <c r="D30" s="15" t="n"/>
      <c r="E30" s="15" t="n"/>
      <c r="F30" s="15" t="n"/>
      <c r="G30" s="14" t="inlineStr">
        <is>
          <t>IRS</t>
        </is>
      </c>
      <c r="H30" s="14" t="inlineStr">
        <is>
          <t>12Y</t>
        </is>
      </c>
      <c r="I30" s="14" t="n">
        <v>1.53625</v>
      </c>
      <c r="J30" s="15" t="n"/>
      <c r="K30" s="15" t="n"/>
      <c r="L30" s="15" t="n"/>
      <c r="M30" s="15" t="n"/>
      <c r="N30" s="15" t="n"/>
      <c r="O30" s="15" t="n"/>
      <c r="P30" s="14" t="n"/>
      <c r="Q30" s="14" t="n"/>
      <c r="R30" s="14" t="n"/>
      <c r="S30" s="14" t="n"/>
      <c r="T30" s="14" t="n"/>
      <c r="U30" s="14" t="n"/>
      <c r="V30" s="15" t="n"/>
      <c r="W30" s="15" t="n"/>
      <c r="X30" s="15" t="n"/>
      <c r="Y30" s="15" t="n"/>
      <c r="Z30" s="15" t="n"/>
      <c r="AA30" s="15" t="n"/>
    </row>
    <row r="31">
      <c r="A31" s="14" t="inlineStr">
        <is>
          <t>IRS</t>
        </is>
      </c>
      <c r="B31" s="14" t="inlineStr">
        <is>
          <t>30Y</t>
        </is>
      </c>
      <c r="C31" s="14" t="n">
        <v>3.87225</v>
      </c>
      <c r="D31" s="15" t="n"/>
      <c r="E31" s="15" t="n"/>
      <c r="F31" s="15" t="n"/>
      <c r="G31" s="14" t="inlineStr">
        <is>
          <t>IRS</t>
        </is>
      </c>
      <c r="H31" s="14" t="inlineStr">
        <is>
          <t>15Y</t>
        </is>
      </c>
      <c r="I31" s="14" t="n">
        <v>1.78</v>
      </c>
      <c r="J31" s="15" t="n"/>
      <c r="K31" s="15" t="n"/>
      <c r="L31" s="15" t="n"/>
      <c r="M31" s="15" t="n"/>
      <c r="N31" s="15" t="n"/>
      <c r="O31" s="15" t="n"/>
      <c r="P31" s="14" t="n"/>
      <c r="Q31" s="14" t="n"/>
      <c r="R31" s="14" t="n"/>
      <c r="S31" s="14" t="n"/>
      <c r="T31" s="14" t="n"/>
      <c r="U31" s="14" t="n"/>
      <c r="V31" s="15" t="n"/>
      <c r="W31" s="15" t="n"/>
      <c r="X31" s="15" t="n"/>
      <c r="Y31" s="15" t="n"/>
      <c r="Z31" s="15" t="n"/>
      <c r="AA31" s="15" t="n"/>
    </row>
    <row r="32">
      <c r="A32" s="14" t="inlineStr">
        <is>
          <t>IRS</t>
        </is>
      </c>
      <c r="B32" s="14" t="inlineStr">
        <is>
          <t>40Y</t>
        </is>
      </c>
      <c r="C32" s="14" t="n">
        <v>3.77065</v>
      </c>
      <c r="D32" s="15" t="n"/>
      <c r="E32" s="15" t="n"/>
      <c r="F32" s="15" t="n"/>
      <c r="G32" s="14" t="inlineStr">
        <is>
          <t>IRS</t>
        </is>
      </c>
      <c r="H32" s="14" t="inlineStr">
        <is>
          <t>20Y</t>
        </is>
      </c>
      <c r="I32" s="14" t="n">
        <v>2.13125</v>
      </c>
      <c r="J32" s="15" t="n"/>
      <c r="K32" s="15" t="n"/>
      <c r="L32" s="15" t="n"/>
      <c r="M32" s="15" t="n"/>
      <c r="N32" s="15" t="n"/>
      <c r="O32" s="15" t="n"/>
      <c r="P32" s="14" t="n"/>
      <c r="Q32" s="14" t="n"/>
      <c r="R32" s="14" t="n"/>
      <c r="S32" s="14" t="n"/>
      <c r="T32" s="14" t="n"/>
      <c r="U32" s="14" t="n"/>
      <c r="V32" s="15" t="n"/>
      <c r="W32" s="15" t="n"/>
      <c r="X32" s="15" t="n"/>
      <c r="Y32" s="15" t="n"/>
      <c r="Z32" s="15" t="n"/>
      <c r="AA32" s="15" t="n"/>
    </row>
    <row r="33">
      <c r="A33" s="14" t="inlineStr">
        <is>
          <t>IRS</t>
        </is>
      </c>
      <c r="B33" s="14" t="inlineStr">
        <is>
          <t>50Y</t>
        </is>
      </c>
      <c r="C33" s="14" t="n">
        <v>3.65801</v>
      </c>
      <c r="D33" s="15" t="n"/>
      <c r="E33" s="15" t="n"/>
      <c r="F33" s="15" t="n"/>
      <c r="G33" s="14" t="inlineStr">
        <is>
          <t>IRS</t>
        </is>
      </c>
      <c r="H33" s="14" t="inlineStr">
        <is>
          <t>25Y</t>
        </is>
      </c>
      <c r="I33" s="14" t="n">
        <v>2.3525</v>
      </c>
      <c r="J33" s="15" t="n"/>
      <c r="K33" s="15" t="n"/>
      <c r="L33" s="15" t="n"/>
      <c r="M33" s="15" t="n"/>
      <c r="N33" s="15" t="n"/>
      <c r="O33" s="15" t="n"/>
      <c r="P33" s="14" t="n"/>
      <c r="Q33" s="14" t="n"/>
      <c r="R33" s="14" t="n"/>
      <c r="S33" s="14" t="n"/>
      <c r="T33" s="14" t="n"/>
      <c r="U33" s="14" t="n"/>
      <c r="V33" s="15" t="n"/>
      <c r="W33" s="15" t="n"/>
      <c r="X33" s="15" t="n"/>
      <c r="Y33" s="15" t="n"/>
      <c r="Z33" s="15" t="n"/>
      <c r="AA33" s="15" t="n"/>
    </row>
    <row r="34">
      <c r="A34" s="14" t="n"/>
      <c r="B34" s="14" t="n"/>
      <c r="C34" s="14" t="n"/>
      <c r="D34" s="15" t="n"/>
      <c r="E34" s="15" t="n"/>
      <c r="F34" s="15" t="n"/>
      <c r="G34" s="14" t="inlineStr">
        <is>
          <t>IRS</t>
        </is>
      </c>
      <c r="H34" s="14" t="inlineStr">
        <is>
          <t>30Y</t>
        </is>
      </c>
      <c r="I34" s="14" t="n">
        <v>2.48525</v>
      </c>
      <c r="J34" s="15" t="n"/>
      <c r="K34" s="15" t="n"/>
      <c r="L34" s="15" t="n"/>
      <c r="M34" s="15" t="n"/>
      <c r="N34" s="15" t="n"/>
      <c r="O34" s="15" t="n"/>
      <c r="P34" s="14" t="n"/>
      <c r="Q34" s="14" t="n"/>
      <c r="R34" s="14" t="n"/>
      <c r="S34" s="14" t="n"/>
      <c r="T34" s="14" t="n"/>
      <c r="U34" s="14" t="n"/>
      <c r="V34" s="15" t="n"/>
      <c r="W34" s="15" t="n"/>
      <c r="X34" s="15" t="n"/>
      <c r="Y34" s="15" t="n"/>
      <c r="Z34" s="15" t="n"/>
      <c r="AA34" s="15" t="n"/>
    </row>
    <row r="35">
      <c r="A35" s="14" t="n"/>
      <c r="B35" s="14" t="n"/>
      <c r="C35" s="14" t="n"/>
      <c r="D35" s="15" t="n"/>
      <c r="E35" s="15" t="n"/>
      <c r="F35" s="15" t="n"/>
      <c r="G35" s="14" t="inlineStr">
        <is>
          <t>IRS</t>
        </is>
      </c>
      <c r="H35" s="14" t="inlineStr">
        <is>
          <t>35Y</t>
        </is>
      </c>
      <c r="I35" s="14" t="n">
        <v>2.57375</v>
      </c>
      <c r="J35" s="15" t="n"/>
      <c r="K35" s="15" t="n"/>
      <c r="L35" s="15" t="n"/>
      <c r="M35" s="15" t="n"/>
      <c r="N35" s="15" t="n"/>
      <c r="O35" s="15" t="n"/>
      <c r="P35" s="14" t="n"/>
      <c r="Q35" s="14" t="n"/>
      <c r="R35" s="14" t="n"/>
      <c r="S35" s="14" t="n"/>
      <c r="T35" s="14" t="n"/>
      <c r="U35" s="14" t="n"/>
      <c r="V35" s="15" t="n"/>
      <c r="W35" s="15" t="n"/>
      <c r="X35" s="15" t="n"/>
      <c r="Y35" s="15" t="n"/>
      <c r="Z35" s="15" t="n"/>
      <c r="AA35" s="15" t="n"/>
    </row>
    <row r="36">
      <c r="A36" s="14" t="n"/>
      <c r="B36" s="14" t="n"/>
      <c r="C36" s="14" t="n"/>
      <c r="D36" s="15" t="n"/>
      <c r="E36" s="15" t="n"/>
      <c r="F36" s="15" t="n"/>
      <c r="G36" s="14" t="inlineStr">
        <is>
          <t>IRS</t>
        </is>
      </c>
      <c r="H36" s="14" t="inlineStr">
        <is>
          <t>40Y</t>
        </is>
      </c>
      <c r="I36" s="14" t="n">
        <v>2.63025</v>
      </c>
      <c r="J36" s="15" t="n"/>
      <c r="K36" s="15" t="n"/>
      <c r="L36" s="15" t="n"/>
      <c r="M36" s="15" t="n"/>
      <c r="N36" s="15" t="n"/>
      <c r="O36" s="15" t="n"/>
      <c r="P36" s="14" t="n"/>
      <c r="Q36" s="14" t="n"/>
      <c r="R36" s="14" t="n"/>
      <c r="S36" s="14" t="n"/>
      <c r="T36" s="14" t="n"/>
      <c r="U36" s="14" t="n"/>
      <c r="V36" s="15" t="n"/>
      <c r="W36" s="15" t="n"/>
      <c r="X36" s="15" t="n"/>
      <c r="Y36" s="15" t="n"/>
      <c r="Z36" s="15" t="n"/>
      <c r="AA36" s="15" t="n"/>
    </row>
    <row r="37">
      <c r="A37" s="14" t="n"/>
      <c r="B37" s="14" t="n"/>
      <c r="C37" s="14" t="n"/>
      <c r="D37" s="15" t="n"/>
      <c r="E37" s="15" t="n"/>
      <c r="F37" s="15" t="n"/>
      <c r="G37" s="14" t="n"/>
      <c r="H37" s="14" t="n"/>
      <c r="I37" s="14" t="n"/>
      <c r="J37" s="15" t="n"/>
      <c r="K37" s="15" t="n"/>
      <c r="L37" s="15" t="n"/>
      <c r="M37" s="15" t="n"/>
      <c r="N37" s="15" t="n"/>
      <c r="O37" s="15" t="n"/>
      <c r="P37" s="14" t="n"/>
      <c r="Q37" s="14" t="n"/>
      <c r="R37" s="14" t="n"/>
      <c r="S37" s="14" t="n"/>
      <c r="T37" s="14" t="n"/>
      <c r="U37" s="14" t="n"/>
      <c r="V37" s="15" t="n"/>
      <c r="W37" s="15" t="n"/>
      <c r="X37" s="15" t="n"/>
      <c r="Y37" s="15" t="n"/>
      <c r="Z37" s="15" t="n"/>
      <c r="AA37" s="15" t="n"/>
    </row>
    <row r="38">
      <c r="A38" s="14" t="n"/>
      <c r="B38" s="14" t="n"/>
      <c r="C38" s="14" t="n"/>
      <c r="D38" s="15" t="n"/>
      <c r="E38" s="15" t="n"/>
      <c r="F38" s="15" t="n"/>
      <c r="G38" s="14" t="n"/>
      <c r="H38" s="14" t="n"/>
      <c r="I38" s="14" t="n"/>
      <c r="J38" s="15" t="n"/>
      <c r="K38" s="15" t="n"/>
      <c r="L38" s="15" t="n"/>
      <c r="M38" s="15" t="n"/>
      <c r="N38" s="15" t="n"/>
      <c r="O38" s="15" t="n"/>
      <c r="P38" s="14" t="n"/>
      <c r="Q38" s="14" t="n"/>
      <c r="R38" s="14" t="n"/>
      <c r="S38" s="14" t="n"/>
      <c r="T38" s="14" t="n"/>
      <c r="U38" s="14" t="n"/>
      <c r="V38" s="15" t="n"/>
      <c r="W38" s="15" t="n"/>
      <c r="X38" s="15" t="n"/>
      <c r="Y38" s="15" t="n"/>
      <c r="Z38" s="15" t="n"/>
      <c r="AA38" s="15" t="n"/>
    </row>
    <row r="39">
      <c r="A39" s="14" t="n"/>
      <c r="B39" s="14" t="n"/>
      <c r="C39" s="14" t="n"/>
      <c r="D39" s="15" t="n"/>
      <c r="E39" s="15" t="n"/>
      <c r="F39" s="15" t="n"/>
      <c r="G39" s="14" t="n"/>
      <c r="H39" s="14" t="n"/>
      <c r="I39" s="14" t="n"/>
      <c r="J39" s="15" t="n"/>
      <c r="K39" s="15" t="n"/>
      <c r="L39" s="15" t="n"/>
      <c r="M39" s="15" t="n"/>
      <c r="N39" s="15" t="n"/>
      <c r="O39" s="15" t="n"/>
      <c r="P39" s="14" t="n"/>
      <c r="Q39" s="14" t="n"/>
      <c r="R39" s="14" t="n"/>
      <c r="S39" s="14" t="n"/>
      <c r="T39" s="14" t="n"/>
      <c r="U39" s="14" t="n"/>
      <c r="V39" s="15" t="n"/>
      <c r="W39" s="15" t="n"/>
      <c r="X39" s="15" t="n"/>
      <c r="Y39" s="15" t="n"/>
      <c r="Z39" s="15" t="n"/>
      <c r="AA39" s="15" t="n"/>
    </row>
    <row r="40">
      <c r="A40" s="14" t="n"/>
      <c r="B40" s="14" t="n"/>
      <c r="C40" s="14" t="n"/>
      <c r="D40" s="15" t="n"/>
      <c r="E40" s="15" t="n"/>
      <c r="F40" s="15" t="n"/>
      <c r="G40" s="14" t="n"/>
      <c r="H40" s="14" t="n"/>
      <c r="I40" s="14" t="n"/>
      <c r="J40" s="15" t="n"/>
      <c r="K40" s="15" t="n"/>
      <c r="L40" s="15" t="n"/>
      <c r="M40" s="15" t="n"/>
      <c r="N40" s="15" t="n"/>
      <c r="O40" s="15" t="n"/>
      <c r="P40" s="14" t="n"/>
      <c r="Q40" s="14" t="n"/>
      <c r="R40" s="14" t="n"/>
      <c r="S40" s="14" t="n"/>
      <c r="T40" s="14" t="n"/>
      <c r="U40" s="14" t="n"/>
      <c r="V40" s="15" t="n"/>
      <c r="W40" s="15" t="n"/>
      <c r="X40" s="15" t="n"/>
      <c r="Y40" s="15" t="n"/>
      <c r="Z40" s="15" t="n"/>
      <c r="AA40" s="15" t="n"/>
    </row>
    <row r="45">
      <c r="F45" s="14" t="n">
        <v>4.3637</v>
      </c>
    </row>
    <row r="46">
      <c r="F46" s="14" t="n">
        <v>4.23585</v>
      </c>
    </row>
    <row r="47">
      <c r="F47" s="14" t="n">
        <v>4.21635</v>
      </c>
    </row>
    <row r="48">
      <c r="F48" s="14" t="n">
        <v>4.18593</v>
      </c>
    </row>
    <row r="49">
      <c r="F49" s="14" t="n">
        <v>4.12204</v>
      </c>
    </row>
    <row r="50">
      <c r="F50" s="14" t="n">
        <v>4.06637</v>
      </c>
    </row>
    <row r="51">
      <c r="F51" s="14" t="n">
        <v>3.9925</v>
      </c>
    </row>
    <row r="52">
      <c r="F52" s="14" t="n">
        <v>3.93355</v>
      </c>
    </row>
    <row r="53">
      <c r="F53" s="14" t="n">
        <v>3.8882</v>
      </c>
    </row>
    <row r="54">
      <c r="F54" s="14" t="n">
        <v>3.83797</v>
      </c>
    </row>
    <row r="55">
      <c r="F55" s="14" t="n">
        <v>3.79665</v>
      </c>
    </row>
    <row r="56">
      <c r="F56" s="14" t="n">
        <v>3.7582</v>
      </c>
    </row>
    <row r="57">
      <c r="F57" s="14" t="n">
        <v>3.71525</v>
      </c>
    </row>
    <row r="58">
      <c r="F58" s="14" t="n">
        <v>3.675</v>
      </c>
    </row>
    <row r="59">
      <c r="F59" s="14" t="n">
        <v>3.6339</v>
      </c>
    </row>
    <row r="60">
      <c r="F60" s="14" t="n">
        <v>3.4171</v>
      </c>
    </row>
    <row r="61">
      <c r="F61" s="14" t="n">
        <v>3.302</v>
      </c>
    </row>
    <row r="62">
      <c r="F62" s="14" t="n">
        <v>3.21275</v>
      </c>
    </row>
    <row r="63">
      <c r="F63" s="14" t="n">
        <v>3.2039</v>
      </c>
    </row>
    <row r="64">
      <c r="F64" s="14" t="n">
        <v>3.22961</v>
      </c>
    </row>
    <row r="65">
      <c r="F65" s="14" t="n">
        <v>3.27845</v>
      </c>
    </row>
    <row r="66">
      <c r="F66" s="14" t="n">
        <v>3.33661</v>
      </c>
    </row>
    <row r="67">
      <c r="F67" s="14" t="n">
        <v>3.39917</v>
      </c>
    </row>
    <row r="68">
      <c r="F68" s="14" t="n">
        <v>3.46173</v>
      </c>
    </row>
    <row r="69">
      <c r="F69" s="14" t="n">
        <v>3.5227</v>
      </c>
    </row>
    <row r="70">
      <c r="F70" s="14" t="n">
        <v>3.6365</v>
      </c>
    </row>
    <row r="71">
      <c r="F71" s="14" t="n">
        <v>3.7682</v>
      </c>
    </row>
    <row r="72">
      <c r="F72" s="14" t="n">
        <v>3.8815</v>
      </c>
    </row>
    <row r="73">
      <c r="F73" s="14" t="n">
        <v>3.8985</v>
      </c>
    </row>
    <row r="74">
      <c r="F74" s="14" t="n">
        <v>3.87225</v>
      </c>
    </row>
    <row r="75">
      <c r="F75" s="14" t="n">
        <v>3.77065</v>
      </c>
    </row>
    <row r="76">
      <c r="F76" s="14" t="n">
        <v>3.65801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5"/>
  <sheetViews>
    <sheetView topLeftCell="A244" workbookViewId="0">
      <selection activeCell="F79" sqref="F79"/>
    </sheetView>
  </sheetViews>
  <sheetFormatPr baseColWidth="8" defaultRowHeight="15.75"/>
  <cols>
    <col width="10.7109375" bestFit="1" customWidth="1" style="4" min="1" max="1"/>
    <col width="15.28515625" bestFit="1" customWidth="1" style="57" min="2" max="2"/>
    <col width="9.140625" customWidth="1" style="22" min="3" max="3"/>
    <col width="10.7109375" bestFit="1" customWidth="1" style="4" min="4" max="4"/>
    <col width="15.28515625" bestFit="1" customWidth="1" style="57" min="5" max="5"/>
    <col width="9.140625" customWidth="1" style="22" min="6" max="6"/>
    <col width="10.7109375" bestFit="1" customWidth="1" style="4" min="7" max="7"/>
    <col width="15.28515625" bestFit="1" customWidth="1" style="57" min="8" max="8"/>
  </cols>
  <sheetData>
    <row r="1">
      <c r="A1" s="2" t="inlineStr">
        <is>
          <t>Date</t>
        </is>
      </c>
      <c r="B1" s="3" t="inlineStr">
        <is>
          <t>SOFR_Fixing</t>
        </is>
      </c>
      <c r="D1" s="2" t="inlineStr">
        <is>
          <t>Date</t>
        </is>
      </c>
      <c r="E1" s="3" t="inlineStr">
        <is>
          <t>TONR_Fixing</t>
        </is>
      </c>
      <c r="G1" s="2" t="inlineStr">
        <is>
          <t>Date</t>
        </is>
      </c>
      <c r="H1" s="3" t="inlineStr">
        <is>
          <t>THOR_Fixing</t>
        </is>
      </c>
    </row>
    <row r="2">
      <c r="A2" s="4" t="n">
        <v>45435</v>
      </c>
      <c r="B2" s="57" t="n">
        <v>5.31</v>
      </c>
      <c r="D2" s="4" t="n">
        <v>45800</v>
      </c>
      <c r="E2" s="57" t="n">
        <v>0.477</v>
      </c>
      <c r="G2" s="4" t="n">
        <v>45796</v>
      </c>
      <c r="H2" s="57" t="n">
        <v>1.74558</v>
      </c>
    </row>
    <row r="3">
      <c r="A3" s="4" t="n">
        <v>45436</v>
      </c>
      <c r="B3" s="57" t="n">
        <v>5.32</v>
      </c>
      <c r="D3" s="4" t="n">
        <v>45803</v>
      </c>
      <c r="E3" s="57" t="n">
        <v>0.476</v>
      </c>
      <c r="G3" s="4" t="n">
        <v>45797</v>
      </c>
      <c r="H3" s="57" t="n">
        <v>1.74615</v>
      </c>
    </row>
    <row r="4">
      <c r="A4" s="4" t="n">
        <v>45440</v>
      </c>
      <c r="B4" s="57" t="n">
        <v>5.32</v>
      </c>
      <c r="D4" s="4" t="n">
        <v>45804</v>
      </c>
      <c r="E4" s="57" t="n">
        <v>0.476</v>
      </c>
      <c r="G4" s="4" t="n">
        <v>45798</v>
      </c>
      <c r="H4" s="57" t="n">
        <v>1.74565</v>
      </c>
    </row>
    <row r="5">
      <c r="A5" s="4" t="n">
        <v>45441</v>
      </c>
      <c r="B5" s="57" t="n">
        <v>5.33</v>
      </c>
      <c r="D5" s="4" t="n">
        <v>45805</v>
      </c>
      <c r="E5" s="57" t="n">
        <v>0.476</v>
      </c>
      <c r="G5" s="4" t="n">
        <v>45799</v>
      </c>
      <c r="H5" s="57" t="n">
        <v>1.74548</v>
      </c>
    </row>
    <row r="6">
      <c r="A6" s="4" t="n">
        <v>45442</v>
      </c>
      <c r="B6" s="57" t="n">
        <v>5.33</v>
      </c>
      <c r="D6" s="4" t="n">
        <v>45806</v>
      </c>
      <c r="E6" s="57" t="n">
        <v>0.476</v>
      </c>
      <c r="G6" s="4" t="n">
        <v>45800</v>
      </c>
      <c r="H6" s="57" t="n">
        <v>1.74439</v>
      </c>
    </row>
    <row r="7">
      <c r="A7" s="4" t="n">
        <v>45443</v>
      </c>
      <c r="B7" s="57" t="n">
        <v>5.34</v>
      </c>
      <c r="D7" s="4" t="n">
        <v>45807</v>
      </c>
      <c r="E7" s="57" t="n">
        <v>0.476</v>
      </c>
      <c r="G7" s="4" t="n">
        <v>45803</v>
      </c>
      <c r="H7" s="57" t="n">
        <v>1.74443</v>
      </c>
    </row>
    <row r="8">
      <c r="A8" s="4" t="n">
        <v>45446</v>
      </c>
      <c r="B8" s="57" t="n">
        <v>5.35</v>
      </c>
      <c r="D8" s="4" t="n">
        <v>45810</v>
      </c>
      <c r="E8" s="57" t="n">
        <v>0.477</v>
      </c>
      <c r="G8" s="4" t="n">
        <v>45804</v>
      </c>
      <c r="H8" s="57" t="n">
        <v>1.74614</v>
      </c>
    </row>
    <row r="9">
      <c r="A9" s="4" t="n">
        <v>45447</v>
      </c>
      <c r="B9" s="57" t="n">
        <v>5.33</v>
      </c>
      <c r="D9" s="4" t="n">
        <v>45811</v>
      </c>
      <c r="E9" s="57" t="n">
        <v>0.477</v>
      </c>
      <c r="G9" s="4" t="n">
        <v>45805</v>
      </c>
      <c r="H9" s="57" t="n">
        <v>1.74574</v>
      </c>
    </row>
    <row r="10">
      <c r="A10" s="4" t="n">
        <v>45448</v>
      </c>
      <c r="B10" s="57" t="n">
        <v>5.33</v>
      </c>
      <c r="D10" s="4" t="n">
        <v>45812</v>
      </c>
      <c r="E10" s="57" t="n">
        <v>0.477</v>
      </c>
      <c r="G10" s="4" t="n">
        <v>45806</v>
      </c>
      <c r="H10" s="57" t="n">
        <v>1.74507</v>
      </c>
    </row>
    <row r="11">
      <c r="A11" s="4" t="n">
        <v>45449</v>
      </c>
      <c r="B11" s="57" t="n">
        <v>5.33</v>
      </c>
      <c r="D11" s="4" t="n">
        <v>45813</v>
      </c>
      <c r="E11" s="57" t="n">
        <v>0.477</v>
      </c>
      <c r="G11" s="4" t="n">
        <v>45807</v>
      </c>
      <c r="H11" s="57" t="n">
        <v>1.73851</v>
      </c>
    </row>
    <row r="12">
      <c r="A12" s="4" t="n">
        <v>45450</v>
      </c>
      <c r="B12" s="57" t="n">
        <v>5.33</v>
      </c>
      <c r="D12" s="4" t="n">
        <v>45814</v>
      </c>
      <c r="E12" s="57" t="n">
        <v>0.477</v>
      </c>
      <c r="G12" s="4" t="n">
        <v>45812</v>
      </c>
      <c r="H12" s="57" t="n">
        <v>1.73851</v>
      </c>
    </row>
    <row r="13">
      <c r="A13" s="4" t="n">
        <v>45453</v>
      </c>
      <c r="B13" s="57" t="n">
        <v>5.32</v>
      </c>
      <c r="D13" s="4" t="n">
        <v>45817</v>
      </c>
      <c r="E13" s="57" t="n">
        <v>0.477</v>
      </c>
      <c r="G13" s="4" t="n">
        <v>45813</v>
      </c>
      <c r="H13" s="57" t="n">
        <v>1.73851</v>
      </c>
    </row>
    <row r="14">
      <c r="A14" s="4" t="n">
        <v>45454</v>
      </c>
      <c r="B14" s="57" t="n">
        <v>5.32</v>
      </c>
      <c r="D14" s="4" t="n">
        <v>45818</v>
      </c>
      <c r="E14" s="57" t="n">
        <v>0.477</v>
      </c>
      <c r="G14" s="4" t="n">
        <v>45814</v>
      </c>
      <c r="H14" s="57" t="n">
        <v>1.73851</v>
      </c>
    </row>
    <row r="15">
      <c r="A15" s="4" t="n">
        <v>45455</v>
      </c>
      <c r="B15" s="57" t="n">
        <v>5.31</v>
      </c>
      <c r="D15" s="4" t="n">
        <v>45819</v>
      </c>
      <c r="E15" s="57" t="n">
        <v>0.477</v>
      </c>
      <c r="G15" s="4" t="n">
        <v>45817</v>
      </c>
      <c r="H15" s="57" t="n">
        <v>1.73851</v>
      </c>
    </row>
    <row r="16">
      <c r="A16" s="4" t="n">
        <v>45456</v>
      </c>
      <c r="B16" s="57" t="n">
        <v>5.31</v>
      </c>
      <c r="D16" s="4" t="n">
        <v>45820</v>
      </c>
      <c r="E16" s="57" t="n">
        <v>0.481</v>
      </c>
      <c r="G16" s="4" t="n">
        <v>45818</v>
      </c>
      <c r="H16" s="57" t="n">
        <v>1.73851</v>
      </c>
    </row>
    <row r="17">
      <c r="A17" s="4" t="n">
        <v>45457</v>
      </c>
      <c r="B17" s="57" t="n">
        <v>5.31</v>
      </c>
      <c r="D17" s="4" t="n">
        <v>45821</v>
      </c>
      <c r="E17" s="57" t="n">
        <v>0.477</v>
      </c>
      <c r="G17" s="4" t="n">
        <v>45819</v>
      </c>
      <c r="H17" s="57" t="n">
        <v>1.73851</v>
      </c>
    </row>
    <row r="18">
      <c r="A18" s="4" t="n">
        <v>45460</v>
      </c>
      <c r="B18" s="57" t="n">
        <v>5.33</v>
      </c>
      <c r="D18" s="4" t="n">
        <v>45824</v>
      </c>
      <c r="E18" s="57" t="n">
        <v>0.477</v>
      </c>
      <c r="G18" s="4" t="n">
        <v>45820</v>
      </c>
      <c r="H18" s="57" t="n">
        <v>1.74449</v>
      </c>
    </row>
    <row r="19">
      <c r="A19" s="4" t="n">
        <v>45461</v>
      </c>
      <c r="B19" s="57" t="n">
        <v>5.33</v>
      </c>
      <c r="D19" s="4" t="n">
        <v>45825</v>
      </c>
      <c r="E19" s="57" t="n">
        <v>0.477</v>
      </c>
      <c r="G19" s="4" t="n">
        <v>45821</v>
      </c>
      <c r="H19" s="57" t="n">
        <v>1.74557</v>
      </c>
    </row>
    <row r="20">
      <c r="A20" s="4" t="n">
        <v>45463</v>
      </c>
      <c r="B20" s="57" t="n">
        <v>5.32</v>
      </c>
      <c r="D20" s="4" t="n">
        <v>45826</v>
      </c>
      <c r="E20" s="57" t="n">
        <v>0.478</v>
      </c>
      <c r="G20" s="4" t="n">
        <v>45824</v>
      </c>
      <c r="H20" s="57" t="n">
        <v>1.74191</v>
      </c>
    </row>
    <row r="21">
      <c r="A21" s="4" t="n">
        <v>45464</v>
      </c>
      <c r="B21" s="57" t="n">
        <v>5.31</v>
      </c>
      <c r="D21" s="4" t="n">
        <v>45827</v>
      </c>
      <c r="E21" s="57" t="n">
        <v>0.477</v>
      </c>
      <c r="G21" s="4" t="n">
        <v>45825</v>
      </c>
      <c r="H21" s="57" t="n">
        <v>1.74535</v>
      </c>
    </row>
    <row r="22">
      <c r="A22" s="4" t="n">
        <v>45467</v>
      </c>
      <c r="B22" s="57" t="n">
        <v>5.31</v>
      </c>
      <c r="D22" s="4" t="n">
        <v>45828</v>
      </c>
      <c r="E22" s="57" t="n">
        <v>0.477</v>
      </c>
      <c r="G22" s="4" t="n">
        <v>45826</v>
      </c>
      <c r="H22" s="57" t="n">
        <v>1.74644</v>
      </c>
    </row>
    <row r="23">
      <c r="A23" s="4" t="n">
        <v>45468</v>
      </c>
      <c r="B23" s="57" t="n">
        <v>5.33</v>
      </c>
      <c r="D23" s="4" t="n">
        <v>45831</v>
      </c>
      <c r="E23" s="57" t="n">
        <v>0.476</v>
      </c>
      <c r="G23" s="4" t="n">
        <v>45827</v>
      </c>
      <c r="H23" s="57" t="n">
        <v>1.74581</v>
      </c>
    </row>
    <row r="24">
      <c r="A24" s="4" t="n">
        <v>45469</v>
      </c>
      <c r="B24" s="57" t="n">
        <v>5.34</v>
      </c>
      <c r="D24" s="4" t="n">
        <v>45832</v>
      </c>
      <c r="E24" s="57" t="n">
        <v>0.478</v>
      </c>
      <c r="G24" s="4" t="n">
        <v>45828</v>
      </c>
      <c r="H24" s="57" t="n">
        <v>1.74328</v>
      </c>
    </row>
    <row r="25">
      <c r="A25" s="4" t="n">
        <v>45470</v>
      </c>
      <c r="B25" s="57" t="n">
        <v>5.34</v>
      </c>
      <c r="D25" s="4" t="n">
        <v>45833</v>
      </c>
      <c r="E25" s="57" t="n">
        <v>0.478</v>
      </c>
      <c r="G25" s="4" t="n">
        <v>45831</v>
      </c>
      <c r="H25" s="57" t="n">
        <v>1.74464</v>
      </c>
    </row>
    <row r="26">
      <c r="A26" s="4" t="n">
        <v>45471</v>
      </c>
      <c r="B26" s="57" t="n">
        <v>5.33</v>
      </c>
      <c r="D26" s="4" t="n">
        <v>45834</v>
      </c>
      <c r="E26" s="57" t="n">
        <v>0.478</v>
      </c>
      <c r="G26" s="4" t="n">
        <v>45832</v>
      </c>
      <c r="H26" s="57" t="n">
        <v>1.7463</v>
      </c>
    </row>
    <row r="27">
      <c r="A27" s="4" t="n">
        <v>45474</v>
      </c>
      <c r="B27" s="57" t="n">
        <v>5.33</v>
      </c>
      <c r="D27" s="4" t="n">
        <v>45835</v>
      </c>
      <c r="E27" s="57" t="n">
        <v>0.477</v>
      </c>
      <c r="G27" s="4" t="n">
        <v>45833</v>
      </c>
      <c r="H27" s="57" t="n">
        <v>1.74469</v>
      </c>
    </row>
    <row r="28">
      <c r="A28" s="4" t="n">
        <v>45475</v>
      </c>
      <c r="B28" s="57" t="n">
        <v>5.33</v>
      </c>
      <c r="D28" s="4" t="n">
        <v>45838</v>
      </c>
      <c r="E28" s="57" t="n">
        <v>0.477</v>
      </c>
      <c r="G28" s="4" t="n">
        <v>45834</v>
      </c>
      <c r="H28" s="57" t="n">
        <v>1.74474</v>
      </c>
    </row>
    <row r="29">
      <c r="A29" s="4" t="n">
        <v>45476</v>
      </c>
      <c r="B29" s="57" t="n">
        <v>5.33</v>
      </c>
      <c r="D29" s="4" t="n">
        <v>45839</v>
      </c>
      <c r="E29" s="57" t="n">
        <v>0.477</v>
      </c>
      <c r="G29" s="4" t="n">
        <v>45835</v>
      </c>
      <c r="H29" s="57" t="n">
        <v>1.74286</v>
      </c>
    </row>
    <row r="30">
      <c r="A30" s="4" t="n">
        <v>45478</v>
      </c>
      <c r="B30" s="57" t="n">
        <v>5.32</v>
      </c>
      <c r="D30" s="4" t="n">
        <v>45840</v>
      </c>
      <c r="E30" s="57" t="n">
        <v>0.477</v>
      </c>
      <c r="G30" s="4" t="n">
        <v>45838</v>
      </c>
      <c r="H30" s="57" t="n">
        <v>1.73863</v>
      </c>
    </row>
    <row r="31">
      <c r="A31" s="4" t="n">
        <v>45481</v>
      </c>
      <c r="B31" s="57" t="n">
        <v>5.32</v>
      </c>
      <c r="D31" s="4" t="n">
        <v>45841</v>
      </c>
      <c r="E31" s="57" t="n">
        <v>0.477</v>
      </c>
      <c r="G31" s="4" t="n">
        <v>45839</v>
      </c>
      <c r="H31" s="57" t="n">
        <v>1.74452</v>
      </c>
    </row>
    <row r="32">
      <c r="A32" s="4" t="n">
        <v>45482</v>
      </c>
      <c r="B32" s="57" t="n">
        <v>5.34</v>
      </c>
      <c r="D32" s="4" t="n">
        <v>45842</v>
      </c>
      <c r="E32" s="57" t="n">
        <v>0.477</v>
      </c>
      <c r="G32" s="4" t="n">
        <v>45840</v>
      </c>
      <c r="H32" s="57" t="n">
        <v>1.74555</v>
      </c>
    </row>
    <row r="33">
      <c r="A33" s="4" t="n">
        <v>45483</v>
      </c>
      <c r="B33" s="57" t="n">
        <v>5.34</v>
      </c>
      <c r="D33" s="4" t="n">
        <v>45845</v>
      </c>
      <c r="E33" s="57" t="n">
        <v>0.477</v>
      </c>
      <c r="G33" s="4" t="n">
        <v>45841</v>
      </c>
      <c r="H33" s="57" t="n">
        <v>1.74588</v>
      </c>
    </row>
    <row r="34">
      <c r="A34" s="4" t="n">
        <v>45484</v>
      </c>
      <c r="B34" s="57" t="n">
        <v>5.34</v>
      </c>
      <c r="D34" s="4" t="n">
        <v>45846</v>
      </c>
      <c r="E34" s="57" t="n">
        <v>0.477</v>
      </c>
      <c r="G34" s="4" t="n">
        <v>45842</v>
      </c>
      <c r="H34" s="57" t="n">
        <v>1.7399</v>
      </c>
    </row>
    <row r="35">
      <c r="A35" s="4" t="n">
        <v>45485</v>
      </c>
      <c r="B35" s="57" t="n">
        <v>5.34</v>
      </c>
      <c r="D35" s="4" t="n">
        <v>45847</v>
      </c>
      <c r="E35" s="57" t="n">
        <v>0.477</v>
      </c>
      <c r="G35" s="4" t="n">
        <v>45845</v>
      </c>
      <c r="H35" s="57" t="n">
        <v>1.74227</v>
      </c>
    </row>
    <row r="36">
      <c r="A36" s="4" t="n">
        <v>45488</v>
      </c>
      <c r="B36" s="57" t="n">
        <v>5.34</v>
      </c>
      <c r="D36" s="4" t="n">
        <v>45848</v>
      </c>
      <c r="E36" s="57" t="n">
        <v>0.477</v>
      </c>
      <c r="G36" s="4" t="n">
        <v>45846</v>
      </c>
      <c r="H36" s="57" t="n">
        <v>1.74506</v>
      </c>
    </row>
    <row r="37">
      <c r="A37" s="4" t="n">
        <v>45489</v>
      </c>
      <c r="B37" s="57" t="n">
        <v>5.35</v>
      </c>
      <c r="D37" s="4" t="n">
        <v>45849</v>
      </c>
      <c r="E37" s="57" t="n">
        <v>0.477</v>
      </c>
      <c r="G37" s="4" t="n">
        <v>45847</v>
      </c>
      <c r="H37" s="57" t="n">
        <v>1.74525</v>
      </c>
    </row>
    <row r="38">
      <c r="A38" s="4" t="n">
        <v>45490</v>
      </c>
      <c r="B38" s="57" t="n">
        <v>5.35</v>
      </c>
      <c r="D38" s="4" t="n">
        <v>45852</v>
      </c>
      <c r="E38" s="57" t="n">
        <v>0.479</v>
      </c>
      <c r="G38" s="4" t="n">
        <v>45849</v>
      </c>
      <c r="H38" s="57" t="n">
        <v>1.74553</v>
      </c>
    </row>
    <row r="39">
      <c r="A39" s="4" t="n">
        <v>45491</v>
      </c>
      <c r="B39" s="57" t="n">
        <v>5.34</v>
      </c>
      <c r="D39" s="4" t="n">
        <v>45853</v>
      </c>
      <c r="E39" s="57" t="n">
        <v>0.476</v>
      </c>
      <c r="G39" s="4" t="n">
        <v>45852</v>
      </c>
      <c r="H39" s="57" t="n">
        <v>1.74645</v>
      </c>
    </row>
    <row r="40">
      <c r="A40" s="4" t="n">
        <v>45492</v>
      </c>
      <c r="B40" s="57" t="n">
        <v>5.34</v>
      </c>
      <c r="D40" s="4" t="n">
        <v>45854</v>
      </c>
      <c r="E40" s="57" t="n">
        <v>0.477</v>
      </c>
      <c r="G40" s="4" t="n">
        <v>45853</v>
      </c>
      <c r="H40" s="57" t="n">
        <v>1.74505</v>
      </c>
    </row>
    <row r="41">
      <c r="A41" s="4" t="n">
        <v>45495</v>
      </c>
      <c r="B41" s="57" t="n">
        <v>5.33</v>
      </c>
      <c r="D41" s="4" t="n">
        <v>45855</v>
      </c>
      <c r="E41" s="57" t="n">
        <v>0.477</v>
      </c>
      <c r="G41" s="4" t="n">
        <v>45854</v>
      </c>
      <c r="H41" s="57" t="n">
        <v>1.74595</v>
      </c>
    </row>
    <row r="42">
      <c r="A42" s="4" t="n">
        <v>45496</v>
      </c>
      <c r="B42" s="57" t="n">
        <v>5.34</v>
      </c>
      <c r="D42" s="4" t="n">
        <v>45856</v>
      </c>
      <c r="E42" s="57" t="n">
        <v>0.477</v>
      </c>
      <c r="G42" s="4" t="n">
        <v>45855</v>
      </c>
      <c r="H42" s="57" t="n">
        <v>1.74553</v>
      </c>
    </row>
    <row r="43">
      <c r="A43" s="4" t="n">
        <v>45497</v>
      </c>
      <c r="B43" s="57" t="n">
        <v>5.34</v>
      </c>
      <c r="D43" s="4" t="n">
        <v>45860</v>
      </c>
      <c r="E43" s="57" t="n">
        <v>0.479</v>
      </c>
      <c r="G43" s="4" t="n">
        <v>45856</v>
      </c>
      <c r="H43" s="57" t="n">
        <v>1.74601</v>
      </c>
    </row>
    <row r="44">
      <c r="A44" s="4" t="n">
        <v>45498</v>
      </c>
      <c r="B44" s="57" t="n">
        <v>5.35</v>
      </c>
      <c r="D44" s="4" t="n">
        <v>45861</v>
      </c>
      <c r="E44" s="57" t="n">
        <v>0.478</v>
      </c>
      <c r="G44" s="4" t="n">
        <v>45859</v>
      </c>
      <c r="H44" s="57" t="n">
        <v>1.74538</v>
      </c>
    </row>
    <row r="45">
      <c r="A45" s="4" t="n">
        <v>45499</v>
      </c>
      <c r="B45" s="57" t="n">
        <v>5.35</v>
      </c>
      <c r="D45" s="4" t="n">
        <v>45862</v>
      </c>
      <c r="E45" s="57" t="n">
        <v>0.477</v>
      </c>
      <c r="G45" s="4" t="n">
        <v>45860</v>
      </c>
      <c r="H45" s="57" t="n">
        <v>1.74619</v>
      </c>
    </row>
    <row r="46">
      <c r="A46" s="4" t="n">
        <v>45502</v>
      </c>
      <c r="B46" s="57" t="n">
        <v>5.33</v>
      </c>
      <c r="D46" s="4" t="n">
        <v>45863</v>
      </c>
      <c r="E46" s="57" t="n">
        <v>0.477</v>
      </c>
      <c r="G46" s="4" t="n">
        <v>45861</v>
      </c>
      <c r="H46" s="57" t="n">
        <v>1.74053</v>
      </c>
    </row>
    <row r="47">
      <c r="A47" s="4" t="n">
        <v>45503</v>
      </c>
      <c r="B47" s="57" t="n">
        <v>5.33</v>
      </c>
      <c r="D47" s="4" t="n">
        <v>45866</v>
      </c>
      <c r="E47" s="57" t="n">
        <v>0.479</v>
      </c>
      <c r="G47" s="4" t="n">
        <v>45862</v>
      </c>
      <c r="H47" s="57" t="n">
        <v>1.74603</v>
      </c>
    </row>
    <row r="48">
      <c r="A48" s="4" t="n">
        <v>45504</v>
      </c>
      <c r="B48" s="57" t="n">
        <v>5.38</v>
      </c>
      <c r="D48" s="4" t="n">
        <v>45867</v>
      </c>
      <c r="E48" s="57" t="n">
        <v>0.478</v>
      </c>
      <c r="G48" s="4" t="n">
        <v>45863</v>
      </c>
      <c r="H48" s="57" t="n">
        <v>1.74543</v>
      </c>
    </row>
    <row r="49">
      <c r="A49" s="4" t="n">
        <v>45505</v>
      </c>
      <c r="B49" s="57" t="n">
        <v>5.35</v>
      </c>
      <c r="D49" s="4" t="n">
        <v>45868</v>
      </c>
      <c r="E49" s="57" t="n">
        <v>0.481</v>
      </c>
      <c r="G49" s="4" t="n">
        <v>45867</v>
      </c>
      <c r="H49" s="57" t="n">
        <v>1.74236</v>
      </c>
    </row>
    <row r="50">
      <c r="A50" s="4" t="n">
        <v>45506</v>
      </c>
      <c r="B50" s="57" t="n">
        <v>5.35</v>
      </c>
      <c r="D50" s="4" t="n">
        <v>45869</v>
      </c>
      <c r="E50" s="57" t="n">
        <v>0.478</v>
      </c>
      <c r="G50" s="4" t="n">
        <v>45868</v>
      </c>
      <c r="H50" s="57" t="n">
        <v>1.74251</v>
      </c>
    </row>
    <row r="51">
      <c r="A51" s="4" t="n">
        <v>45509</v>
      </c>
      <c r="B51" s="57" t="n">
        <v>5.32</v>
      </c>
      <c r="D51" s="4" t="n">
        <v>45870</v>
      </c>
      <c r="E51" s="57" t="n">
        <v>0.477</v>
      </c>
      <c r="G51" s="4" t="n">
        <v>45869</v>
      </c>
      <c r="H51" s="57" t="n">
        <v>1.74052</v>
      </c>
    </row>
    <row r="52">
      <c r="A52" s="4" t="n">
        <v>45510</v>
      </c>
      <c r="B52" s="57" t="n">
        <v>5.33</v>
      </c>
      <c r="D52" s="4" t="n">
        <v>45873</v>
      </c>
      <c r="E52" s="57" t="n">
        <v>0.476</v>
      </c>
      <c r="G52" s="4" t="n">
        <v>45870</v>
      </c>
      <c r="H52" s="57" t="n">
        <v>1.74154</v>
      </c>
    </row>
    <row r="53">
      <c r="A53" s="4" t="n">
        <v>45511</v>
      </c>
      <c r="B53" s="57" t="n">
        <v>5.33</v>
      </c>
      <c r="D53" s="4" t="n">
        <v>45874</v>
      </c>
      <c r="E53" s="57" t="n">
        <v>0.477</v>
      </c>
      <c r="G53" s="4" t="n">
        <v>45873</v>
      </c>
      <c r="H53" s="57" t="n">
        <v>1.74463</v>
      </c>
    </row>
    <row r="54">
      <c r="A54" s="4" t="n">
        <v>45512</v>
      </c>
      <c r="B54" s="57" t="n">
        <v>5.34</v>
      </c>
      <c r="D54" s="4" t="n">
        <v>45875</v>
      </c>
      <c r="E54" s="57" t="n">
        <v>0.477</v>
      </c>
      <c r="G54" s="4" t="n">
        <v>45874</v>
      </c>
      <c r="H54" s="57" t="n">
        <v>1.74515</v>
      </c>
    </row>
    <row r="55">
      <c r="A55" s="4" t="n">
        <v>45513</v>
      </c>
      <c r="B55" s="57" t="n">
        <v>5.34</v>
      </c>
      <c r="D55" s="4" t="n">
        <v>45876</v>
      </c>
      <c r="E55" s="57" t="n">
        <v>0.477</v>
      </c>
      <c r="G55" s="4" t="n">
        <v>45875</v>
      </c>
      <c r="H55" s="57" t="n">
        <v>1.74541</v>
      </c>
    </row>
    <row r="56">
      <c r="A56" s="4" t="n">
        <v>45516</v>
      </c>
      <c r="B56" s="57" t="n">
        <v>5.34</v>
      </c>
      <c r="D56" s="4" t="n">
        <v>45877</v>
      </c>
      <c r="E56" s="57" t="n">
        <v>0.477</v>
      </c>
      <c r="G56" s="4" t="n">
        <v>45876</v>
      </c>
      <c r="H56" s="57" t="n">
        <v>1.7455</v>
      </c>
    </row>
    <row r="57">
      <c r="A57" s="4" t="n">
        <v>45517</v>
      </c>
      <c r="B57" s="57" t="n">
        <v>5.34</v>
      </c>
      <c r="D57" s="4" t="n">
        <v>45881</v>
      </c>
      <c r="E57" s="57" t="n">
        <v>0.477</v>
      </c>
      <c r="G57" s="4" t="n">
        <v>45877</v>
      </c>
      <c r="H57" s="57" t="n">
        <v>1.74679</v>
      </c>
    </row>
    <row r="58">
      <c r="A58" s="4" t="n">
        <v>45518</v>
      </c>
      <c r="B58" s="57" t="n">
        <v>5.33</v>
      </c>
      <c r="D58" s="4" t="n">
        <v>45882</v>
      </c>
      <c r="E58" s="57" t="n">
        <v>0.477</v>
      </c>
      <c r="G58" s="4" t="n">
        <v>45882</v>
      </c>
      <c r="H58" s="57" t="n">
        <v>1.49605</v>
      </c>
    </row>
    <row r="59">
      <c r="A59" s="4" t="n">
        <v>45519</v>
      </c>
      <c r="B59" s="57" t="n">
        <v>5.35</v>
      </c>
      <c r="D59" s="4" t="n">
        <v>45883</v>
      </c>
      <c r="E59" s="57" t="n">
        <v>0.477</v>
      </c>
      <c r="G59" s="4" t="n">
        <v>45883</v>
      </c>
      <c r="H59" s="57" t="n">
        <v>1.49615</v>
      </c>
    </row>
    <row r="60">
      <c r="A60" s="4" t="n">
        <v>45520</v>
      </c>
      <c r="B60" s="57" t="n">
        <v>5.32</v>
      </c>
      <c r="D60" s="4" t="n">
        <v>45884</v>
      </c>
      <c r="E60" s="57" t="n">
        <v>0.477</v>
      </c>
      <c r="G60" s="4" t="n">
        <v>45884</v>
      </c>
      <c r="H60" s="57" t="n">
        <v>1.49636</v>
      </c>
    </row>
    <row r="61">
      <c r="A61" s="4" t="n">
        <v>45523</v>
      </c>
      <c r="B61" s="57" t="n">
        <v>5.32</v>
      </c>
      <c r="D61" s="4" t="n">
        <v>45887</v>
      </c>
      <c r="E61" s="57" t="n">
        <v>0.477</v>
      </c>
      <c r="G61" s="4" t="n">
        <v>45887</v>
      </c>
      <c r="H61" s="57" t="n">
        <v>1.49541</v>
      </c>
    </row>
    <row r="62">
      <c r="A62" s="4" t="n">
        <v>45524</v>
      </c>
      <c r="B62" s="57" t="n">
        <v>5.32</v>
      </c>
      <c r="D62" s="4" t="n">
        <v>45888</v>
      </c>
      <c r="E62" s="57" t="n">
        <v>0.477</v>
      </c>
      <c r="G62" s="4" t="n">
        <v>45888</v>
      </c>
      <c r="H62" s="57" t="n">
        <v>1.49581</v>
      </c>
    </row>
    <row r="63">
      <c r="A63" s="4" t="n">
        <v>45525</v>
      </c>
      <c r="B63" s="57" t="n">
        <v>5.31</v>
      </c>
      <c r="D63" s="4" t="n">
        <v>45889</v>
      </c>
      <c r="E63" s="57" t="n">
        <v>0.476</v>
      </c>
      <c r="G63" s="4" t="n">
        <v>45889</v>
      </c>
      <c r="H63" s="57" t="n">
        <v>1.49548</v>
      </c>
    </row>
    <row r="64">
      <c r="A64" s="4" t="n">
        <v>45526</v>
      </c>
      <c r="B64" s="57" t="n">
        <v>5.31</v>
      </c>
      <c r="D64" s="4" t="n">
        <v>45890</v>
      </c>
      <c r="E64" s="57" t="n">
        <v>0.476</v>
      </c>
      <c r="G64" s="4" t="n">
        <v>45890</v>
      </c>
      <c r="H64" s="57" t="n">
        <v>1.49434</v>
      </c>
    </row>
    <row r="65">
      <c r="A65" s="4" t="n">
        <v>45527</v>
      </c>
      <c r="B65" s="57" t="n">
        <v>5.33</v>
      </c>
      <c r="D65" s="4" t="n">
        <v>45891</v>
      </c>
      <c r="E65" s="57" t="n">
        <v>0.476</v>
      </c>
      <c r="G65" s="4" t="n">
        <v>45891</v>
      </c>
      <c r="H65" s="57" t="n">
        <v>1.49546</v>
      </c>
    </row>
    <row r="66">
      <c r="A66" s="4" t="n">
        <v>45530</v>
      </c>
      <c r="B66" s="57" t="n">
        <v>5.34</v>
      </c>
      <c r="D66" s="4" t="n">
        <v>45894</v>
      </c>
      <c r="E66" s="57" t="n">
        <v>0.477</v>
      </c>
      <c r="G66" s="4" t="n">
        <v>45894</v>
      </c>
      <c r="H66" s="57" t="n">
        <v>1.49539</v>
      </c>
    </row>
    <row r="67">
      <c r="A67" s="4" t="n">
        <v>45531</v>
      </c>
      <c r="B67" s="57" t="n">
        <v>5.35</v>
      </c>
      <c r="D67" s="4" t="n">
        <v>45895</v>
      </c>
      <c r="E67" s="57" t="n">
        <v>0.478</v>
      </c>
      <c r="G67" s="4" t="n">
        <v>45895</v>
      </c>
      <c r="H67" s="57" t="n">
        <v>1.49583</v>
      </c>
    </row>
    <row r="68">
      <c r="A68" s="4" t="n">
        <v>45532</v>
      </c>
      <c r="B68" s="57" t="n">
        <v>5.35</v>
      </c>
      <c r="D68" s="4" t="n">
        <v>45896</v>
      </c>
      <c r="E68" s="57" t="n">
        <v>0.478</v>
      </c>
      <c r="G68" s="4" t="n">
        <v>45896</v>
      </c>
      <c r="H68" s="57" t="n">
        <v>1.49618</v>
      </c>
    </row>
    <row r="69">
      <c r="A69" s="4" t="n">
        <v>45533</v>
      </c>
      <c r="B69" s="57" t="n">
        <v>5.33</v>
      </c>
      <c r="D69" s="4" t="n">
        <v>45897</v>
      </c>
      <c r="E69" s="57" t="n">
        <v>0.478</v>
      </c>
      <c r="G69" s="4" t="n">
        <v>45897</v>
      </c>
      <c r="H69" s="57" t="n">
        <v>1.49429</v>
      </c>
    </row>
    <row r="70">
      <c r="A70" s="4" t="n">
        <v>45534</v>
      </c>
      <c r="B70" s="57" t="n">
        <v>5.32</v>
      </c>
      <c r="D70" s="4" t="n">
        <v>45898</v>
      </c>
      <c r="E70" s="57" t="n">
        <v>0.477</v>
      </c>
      <c r="G70" s="4" t="n">
        <v>45898</v>
      </c>
      <c r="H70" s="57" t="n">
        <v>1.488</v>
      </c>
    </row>
    <row r="71">
      <c r="A71" s="4" t="n">
        <v>45538</v>
      </c>
      <c r="B71" s="57" t="n">
        <v>5.34</v>
      </c>
      <c r="D71" s="4" t="n">
        <v>45901</v>
      </c>
      <c r="E71" s="57" t="n">
        <v>0.477</v>
      </c>
      <c r="G71" s="4" t="n">
        <v>45901</v>
      </c>
      <c r="H71" s="57" t="n">
        <v>1.49201</v>
      </c>
    </row>
    <row r="72">
      <c r="A72" s="4" t="n">
        <v>45539</v>
      </c>
      <c r="B72" s="57" t="n">
        <v>5.35</v>
      </c>
      <c r="D72" s="4" t="n">
        <v>45902</v>
      </c>
      <c r="E72" s="57" t="n">
        <v>0.478</v>
      </c>
      <c r="G72" s="4" t="n">
        <v>45902</v>
      </c>
      <c r="H72" s="57" t="n">
        <v>1.49498</v>
      </c>
    </row>
    <row r="73">
      <c r="A73" s="4" t="n">
        <v>45540</v>
      </c>
      <c r="B73" s="57" t="n">
        <v>5.35</v>
      </c>
      <c r="D73" s="4" t="n">
        <v>45903</v>
      </c>
      <c r="E73" s="57" t="n">
        <v>0.478</v>
      </c>
      <c r="G73" s="4" t="n">
        <v>45903</v>
      </c>
      <c r="H73" s="57" t="n">
        <v>1.4937</v>
      </c>
    </row>
    <row r="74">
      <c r="A74" s="4" t="n">
        <v>45541</v>
      </c>
      <c r="B74" s="57" t="n">
        <v>5.34</v>
      </c>
      <c r="D74" s="4" t="n">
        <v>45904</v>
      </c>
      <c r="E74" s="57" t="n">
        <v>0.479</v>
      </c>
      <c r="G74" s="4" t="n">
        <v>45904</v>
      </c>
      <c r="H74" s="57" t="n">
        <v>1.49322</v>
      </c>
    </row>
    <row r="75">
      <c r="A75" s="4" t="n">
        <v>45544</v>
      </c>
      <c r="B75" s="57" t="n">
        <v>5.34</v>
      </c>
      <c r="D75" s="4" t="n">
        <v>45905</v>
      </c>
      <c r="E75" s="57" t="n">
        <v>0.477</v>
      </c>
      <c r="G75" s="4" t="n">
        <v>45905</v>
      </c>
      <c r="H75" s="57" t="n">
        <v>1.49485</v>
      </c>
    </row>
    <row r="76">
      <c r="A76" s="4" t="n">
        <v>45545</v>
      </c>
      <c r="B76" s="57" t="n">
        <v>5.33</v>
      </c>
      <c r="D76" s="4" t="n">
        <v>45908</v>
      </c>
      <c r="E76" s="57" t="n">
        <v>0.477</v>
      </c>
      <c r="G76" s="4" t="n">
        <v>45908</v>
      </c>
      <c r="H76" s="57" t="n">
        <v>1.49543</v>
      </c>
    </row>
    <row r="77">
      <c r="A77" s="4" t="n">
        <v>45546</v>
      </c>
      <c r="B77" s="57" t="n">
        <v>5.32</v>
      </c>
      <c r="D77" s="4" t="n">
        <v>45909</v>
      </c>
      <c r="E77" s="57" t="n">
        <v>0.477</v>
      </c>
      <c r="G77" s="4" t="n">
        <v>45909</v>
      </c>
      <c r="H77" s="57" t="n">
        <v>1.49529</v>
      </c>
    </row>
    <row r="78">
      <c r="A78" s="4" t="n">
        <v>45547</v>
      </c>
      <c r="B78" s="57" t="n">
        <v>5.33</v>
      </c>
      <c r="D78" s="4" t="n">
        <v>45910</v>
      </c>
      <c r="E78" s="57" t="n">
        <v>0.477</v>
      </c>
      <c r="G78" s="4" t="n">
        <v>45910</v>
      </c>
      <c r="H78" s="57" t="n">
        <v>1.49622</v>
      </c>
    </row>
    <row r="79">
      <c r="A79" s="4" t="n">
        <v>45548</v>
      </c>
      <c r="B79" s="57" t="n">
        <v>5.33</v>
      </c>
    </row>
    <row r="80">
      <c r="A80" s="4" t="n">
        <v>45551</v>
      </c>
      <c r="B80" s="57" t="n">
        <v>5.38</v>
      </c>
    </row>
    <row r="81">
      <c r="A81" s="4" t="n">
        <v>45552</v>
      </c>
      <c r="B81" s="57" t="n">
        <v>5.38</v>
      </c>
    </row>
    <row r="82">
      <c r="A82" s="4" t="n">
        <v>45553</v>
      </c>
      <c r="B82" s="57" t="n">
        <v>5.33</v>
      </c>
    </row>
    <row r="83">
      <c r="A83" s="4" t="n">
        <v>45554</v>
      </c>
      <c r="B83" s="57" t="n">
        <v>4.82</v>
      </c>
    </row>
    <row r="84">
      <c r="A84" s="4" t="n">
        <v>45555</v>
      </c>
      <c r="B84" s="57" t="n">
        <v>4.83</v>
      </c>
    </row>
    <row r="85">
      <c r="A85" s="4" t="n">
        <v>45558</v>
      </c>
      <c r="B85" s="57" t="n">
        <v>4.83</v>
      </c>
    </row>
    <row r="86">
      <c r="A86" s="4" t="n">
        <v>45559</v>
      </c>
      <c r="B86" s="57" t="n">
        <v>4.84</v>
      </c>
    </row>
    <row r="87">
      <c r="A87" s="4" t="n">
        <v>45560</v>
      </c>
      <c r="B87" s="57" t="n">
        <v>4.84</v>
      </c>
    </row>
    <row r="88">
      <c r="A88" s="4" t="n">
        <v>45561</v>
      </c>
      <c r="B88" s="57" t="n">
        <v>4.83</v>
      </c>
    </row>
    <row r="89">
      <c r="A89" s="4" t="n">
        <v>45562</v>
      </c>
      <c r="B89" s="57" t="n">
        <v>4.84</v>
      </c>
    </row>
    <row r="90">
      <c r="A90" s="4" t="n">
        <v>45565</v>
      </c>
      <c r="B90" s="57" t="n">
        <v>4.96</v>
      </c>
    </row>
    <row r="91">
      <c r="A91" s="4" t="n">
        <v>45566</v>
      </c>
      <c r="B91" s="57" t="n">
        <v>5.05</v>
      </c>
    </row>
    <row r="92">
      <c r="A92" s="4" t="n">
        <v>45567</v>
      </c>
      <c r="B92" s="57" t="n">
        <v>4.92</v>
      </c>
    </row>
    <row r="93">
      <c r="A93" s="4" t="n">
        <v>45568</v>
      </c>
      <c r="B93" s="57" t="n">
        <v>4.85</v>
      </c>
    </row>
    <row r="94">
      <c r="A94" s="4" t="n">
        <v>45569</v>
      </c>
      <c r="B94" s="57" t="n">
        <v>4.83</v>
      </c>
    </row>
    <row r="95">
      <c r="A95" s="4" t="n">
        <v>45572</v>
      </c>
      <c r="B95" s="57" t="n">
        <v>4.83</v>
      </c>
    </row>
    <row r="96">
      <c r="A96" s="4" t="n">
        <v>45573</v>
      </c>
      <c r="B96" s="57" t="n">
        <v>4.84</v>
      </c>
    </row>
    <row r="97">
      <c r="A97" s="4" t="n">
        <v>45574</v>
      </c>
      <c r="B97" s="57" t="n">
        <v>4.83</v>
      </c>
    </row>
    <row r="98">
      <c r="A98" s="4" t="n">
        <v>45575</v>
      </c>
      <c r="B98" s="57" t="n">
        <v>4.82</v>
      </c>
    </row>
    <row r="99">
      <c r="A99" s="4" t="n">
        <v>45576</v>
      </c>
      <c r="B99" s="57" t="n">
        <v>4.81</v>
      </c>
    </row>
    <row r="100">
      <c r="A100" s="4" t="n">
        <v>45580</v>
      </c>
      <c r="B100" s="57" t="n">
        <v>4.86</v>
      </c>
    </row>
    <row r="101">
      <c r="A101" s="4" t="n">
        <v>45581</v>
      </c>
      <c r="B101" s="57" t="n">
        <v>4.86</v>
      </c>
    </row>
    <row r="102">
      <c r="A102" s="4" t="n">
        <v>45582</v>
      </c>
      <c r="B102" s="57" t="n">
        <v>4.85</v>
      </c>
    </row>
    <row r="103">
      <c r="A103" s="4" t="n">
        <v>45583</v>
      </c>
      <c r="B103" s="57" t="n">
        <v>4.84</v>
      </c>
    </row>
    <row r="104">
      <c r="A104" s="4" t="n">
        <v>45586</v>
      </c>
      <c r="B104" s="57" t="n">
        <v>4.82</v>
      </c>
    </row>
    <row r="105">
      <c r="A105" s="4" t="n">
        <v>45587</v>
      </c>
      <c r="B105" s="57" t="n">
        <v>4.83</v>
      </c>
    </row>
    <row r="106">
      <c r="A106" s="4" t="n">
        <v>45588</v>
      </c>
      <c r="B106" s="57" t="n">
        <v>4.83</v>
      </c>
    </row>
    <row r="107">
      <c r="A107" s="4" t="n">
        <v>45589</v>
      </c>
      <c r="B107" s="57" t="n">
        <v>4.83</v>
      </c>
    </row>
    <row r="108">
      <c r="A108" s="4" t="n">
        <v>45590</v>
      </c>
      <c r="B108" s="57" t="n">
        <v>4.83</v>
      </c>
    </row>
    <row r="109">
      <c r="A109" s="4" t="n">
        <v>45593</v>
      </c>
      <c r="B109" s="57" t="n">
        <v>4.82</v>
      </c>
    </row>
    <row r="110">
      <c r="A110" s="4" t="n">
        <v>45594</v>
      </c>
      <c r="B110" s="57" t="n">
        <v>4.82</v>
      </c>
    </row>
    <row r="111">
      <c r="A111" s="4" t="n">
        <v>45595</v>
      </c>
      <c r="B111" s="57" t="n">
        <v>4.81</v>
      </c>
    </row>
    <row r="112">
      <c r="A112" s="4" t="n">
        <v>45596</v>
      </c>
      <c r="B112" s="57" t="n">
        <v>4.9</v>
      </c>
    </row>
    <row r="113">
      <c r="A113" s="4" t="n">
        <v>45597</v>
      </c>
      <c r="B113" s="57" t="n">
        <v>4.86</v>
      </c>
    </row>
    <row r="114">
      <c r="A114" s="4" t="n">
        <v>45600</v>
      </c>
      <c r="B114" s="57" t="n">
        <v>4.82</v>
      </c>
    </row>
    <row r="115">
      <c r="A115" s="4" t="n">
        <v>45601</v>
      </c>
      <c r="B115" s="57" t="n">
        <v>4.82</v>
      </c>
    </row>
    <row r="116">
      <c r="A116" s="4" t="n">
        <v>45602</v>
      </c>
      <c r="B116" s="57" t="n">
        <v>4.81</v>
      </c>
    </row>
    <row r="117">
      <c r="A117" s="4" t="n">
        <v>45603</v>
      </c>
      <c r="B117" s="57" t="n">
        <v>4.82</v>
      </c>
    </row>
    <row r="118">
      <c r="A118" s="4" t="n">
        <v>45604</v>
      </c>
      <c r="B118" s="57" t="n">
        <v>4.6</v>
      </c>
    </row>
    <row r="119">
      <c r="A119" s="4" t="n">
        <v>45608</v>
      </c>
      <c r="B119" s="57" t="n">
        <v>4.6</v>
      </c>
    </row>
    <row r="120">
      <c r="A120" s="4" t="n">
        <v>45609</v>
      </c>
      <c r="B120" s="57" t="n">
        <v>4.59</v>
      </c>
    </row>
    <row r="121">
      <c r="A121" s="4" t="n">
        <v>45610</v>
      </c>
      <c r="B121" s="57" t="n">
        <v>4.58</v>
      </c>
    </row>
    <row r="122">
      <c r="A122" s="4" t="n">
        <v>45611</v>
      </c>
      <c r="B122" s="57" t="n">
        <v>4.57</v>
      </c>
    </row>
    <row r="123">
      <c r="A123" s="4" t="n">
        <v>45614</v>
      </c>
      <c r="B123" s="57" t="n">
        <v>4.57</v>
      </c>
    </row>
    <row r="124">
      <c r="A124" s="4" t="n">
        <v>45615</v>
      </c>
      <c r="B124" s="57" t="n">
        <v>4.57</v>
      </c>
    </row>
    <row r="125">
      <c r="A125" s="4" t="n">
        <v>45616</v>
      </c>
      <c r="B125" s="57" t="n">
        <v>4.56</v>
      </c>
    </row>
    <row r="126">
      <c r="A126" s="4" t="n">
        <v>45617</v>
      </c>
      <c r="B126" s="57" t="n">
        <v>4.57</v>
      </c>
    </row>
    <row r="127">
      <c r="A127" s="4" t="n">
        <v>45618</v>
      </c>
      <c r="B127" s="57" t="n">
        <v>4.57</v>
      </c>
    </row>
    <row r="128">
      <c r="A128" s="4" t="n">
        <v>45621</v>
      </c>
      <c r="B128" s="57" t="n">
        <v>4.58</v>
      </c>
    </row>
    <row r="129">
      <c r="A129" s="4" t="n">
        <v>45622</v>
      </c>
      <c r="B129" s="57" t="n">
        <v>4.58</v>
      </c>
    </row>
    <row r="130">
      <c r="A130" s="4" t="n">
        <v>45623</v>
      </c>
      <c r="B130" s="57" t="n">
        <v>4.57</v>
      </c>
    </row>
    <row r="131">
      <c r="A131" s="4" t="n">
        <v>45625</v>
      </c>
      <c r="B131" s="57" t="n">
        <v>4.59</v>
      </c>
    </row>
    <row r="132">
      <c r="A132" s="4" t="n">
        <v>45628</v>
      </c>
      <c r="B132" s="57" t="n">
        <v>4.64</v>
      </c>
    </row>
    <row r="133">
      <c r="A133" s="4" t="n">
        <v>45629</v>
      </c>
      <c r="B133" s="57" t="n">
        <v>4.64</v>
      </c>
    </row>
    <row r="134">
      <c r="A134" s="4" t="n">
        <v>45630</v>
      </c>
      <c r="B134" s="57" t="n">
        <v>4.59</v>
      </c>
    </row>
    <row r="135">
      <c r="A135" s="4" t="n">
        <v>45631</v>
      </c>
      <c r="B135" s="57" t="n">
        <v>4.59</v>
      </c>
    </row>
    <row r="136">
      <c r="A136" s="4" t="n">
        <v>45632</v>
      </c>
      <c r="B136" s="57" t="n">
        <v>4.6</v>
      </c>
    </row>
    <row r="137">
      <c r="A137" s="4" t="n">
        <v>45635</v>
      </c>
      <c r="B137" s="57" t="n">
        <v>4.63</v>
      </c>
    </row>
    <row r="138">
      <c r="A138" s="4" t="n">
        <v>45636</v>
      </c>
      <c r="B138" s="57" t="n">
        <v>4.64</v>
      </c>
    </row>
    <row r="139">
      <c r="A139" s="4" t="n">
        <v>45637</v>
      </c>
      <c r="B139" s="57" t="n">
        <v>4.62</v>
      </c>
    </row>
    <row r="140">
      <c r="A140" s="4" t="n">
        <v>45638</v>
      </c>
      <c r="B140" s="57" t="n">
        <v>4.62</v>
      </c>
    </row>
    <row r="141">
      <c r="A141" s="4" t="n">
        <v>45639</v>
      </c>
      <c r="B141" s="57" t="n">
        <v>4.6</v>
      </c>
    </row>
    <row r="142">
      <c r="A142" s="4" t="n">
        <v>45642</v>
      </c>
      <c r="B142" s="57" t="n">
        <v>4.65</v>
      </c>
    </row>
    <row r="143">
      <c r="A143" s="4" t="n">
        <v>45643</v>
      </c>
      <c r="B143" s="57" t="n">
        <v>4.62</v>
      </c>
    </row>
    <row r="144">
      <c r="A144" s="4" t="n">
        <v>45644</v>
      </c>
      <c r="B144" s="57" t="n">
        <v>4.57</v>
      </c>
    </row>
    <row r="145">
      <c r="A145" s="4" t="n">
        <v>45645</v>
      </c>
      <c r="B145" s="57" t="n">
        <v>4.3</v>
      </c>
    </row>
    <row r="146">
      <c r="A146" s="4" t="n">
        <v>45646</v>
      </c>
      <c r="B146" s="57" t="n">
        <v>4.3</v>
      </c>
    </row>
    <row r="147">
      <c r="A147" s="4" t="n">
        <v>45649</v>
      </c>
      <c r="B147" s="57" t="n">
        <v>4.31</v>
      </c>
    </row>
    <row r="148">
      <c r="A148" s="4" t="n">
        <v>45650</v>
      </c>
      <c r="B148" s="57" t="n">
        <v>4.4</v>
      </c>
    </row>
    <row r="149">
      <c r="A149" s="4" t="n">
        <v>45652</v>
      </c>
      <c r="B149" s="57" t="n">
        <v>4.53</v>
      </c>
    </row>
    <row r="150">
      <c r="A150" s="4" t="n">
        <v>45653</v>
      </c>
      <c r="B150" s="57" t="n">
        <v>4.46</v>
      </c>
    </row>
    <row r="151">
      <c r="A151" s="4" t="n">
        <v>45656</v>
      </c>
      <c r="B151" s="57" t="n">
        <v>4.37</v>
      </c>
    </row>
    <row r="152">
      <c r="A152" s="4" t="n">
        <v>45657</v>
      </c>
      <c r="B152" s="57" t="n">
        <v>4.49</v>
      </c>
    </row>
    <row r="153">
      <c r="A153" s="4" t="n">
        <v>45659</v>
      </c>
      <c r="B153" s="57" t="n">
        <v>4.4</v>
      </c>
    </row>
    <row r="154">
      <c r="A154" s="4" t="n">
        <v>45660</v>
      </c>
      <c r="B154" s="57" t="n">
        <v>4.31</v>
      </c>
    </row>
    <row r="155">
      <c r="A155" s="4" t="n">
        <v>45663</v>
      </c>
      <c r="B155" s="57" t="n">
        <v>4.27</v>
      </c>
    </row>
    <row r="156">
      <c r="A156" s="4" t="n">
        <v>45664</v>
      </c>
      <c r="B156" s="57" t="n">
        <v>4.27</v>
      </c>
    </row>
    <row r="157">
      <c r="A157" s="4" t="n">
        <v>45665</v>
      </c>
      <c r="B157" s="57" t="n">
        <v>4.29</v>
      </c>
    </row>
    <row r="158">
      <c r="A158" s="4" t="n">
        <v>45666</v>
      </c>
      <c r="B158" s="57" t="n">
        <v>4.3</v>
      </c>
    </row>
    <row r="159">
      <c r="A159" s="4" t="n">
        <v>45667</v>
      </c>
      <c r="B159" s="57" t="n">
        <v>4.3</v>
      </c>
    </row>
    <row r="160">
      <c r="A160" s="4" t="n">
        <v>45670</v>
      </c>
      <c r="B160" s="57" t="n">
        <v>4.29</v>
      </c>
    </row>
    <row r="161">
      <c r="A161" s="4" t="n">
        <v>45671</v>
      </c>
      <c r="B161" s="57" t="n">
        <v>4.28</v>
      </c>
    </row>
    <row r="162">
      <c r="A162" s="4" t="n">
        <v>45672</v>
      </c>
      <c r="B162" s="57" t="n">
        <v>4.28</v>
      </c>
    </row>
    <row r="163">
      <c r="A163" s="4" t="n">
        <v>45673</v>
      </c>
      <c r="B163" s="57" t="n">
        <v>4.29</v>
      </c>
    </row>
    <row r="164">
      <c r="A164" s="4" t="n">
        <v>45674</v>
      </c>
      <c r="B164" s="57" t="n">
        <v>4.29</v>
      </c>
    </row>
    <row r="165">
      <c r="A165" s="4" t="n">
        <v>45678</v>
      </c>
      <c r="B165" s="57" t="n">
        <v>4.29</v>
      </c>
    </row>
    <row r="166">
      <c r="A166" s="4" t="n">
        <v>45679</v>
      </c>
      <c r="B166" s="57" t="n">
        <v>4.3</v>
      </c>
    </row>
    <row r="167">
      <c r="A167" s="4" t="n">
        <v>45680</v>
      </c>
      <c r="B167" s="57" t="n">
        <v>4.35</v>
      </c>
    </row>
    <row r="168">
      <c r="A168" s="4" t="n">
        <v>45681</v>
      </c>
      <c r="B168" s="57" t="n">
        <v>4.34</v>
      </c>
    </row>
    <row r="169">
      <c r="A169" s="4" t="n">
        <v>45684</v>
      </c>
      <c r="B169" s="57" t="n">
        <v>4.34</v>
      </c>
    </row>
    <row r="170">
      <c r="A170" s="4" t="n">
        <v>45685</v>
      </c>
      <c r="B170" s="57" t="n">
        <v>4.35</v>
      </c>
    </row>
    <row r="171">
      <c r="A171" s="4" t="n">
        <v>45686</v>
      </c>
      <c r="B171" s="57" t="n">
        <v>4.35</v>
      </c>
    </row>
    <row r="172">
      <c r="A172" s="4" t="n">
        <v>45687</v>
      </c>
      <c r="B172" s="57" t="n">
        <v>4.36</v>
      </c>
    </row>
    <row r="173">
      <c r="A173" s="4" t="n">
        <v>45688</v>
      </c>
      <c r="B173" s="57" t="n">
        <v>4.38</v>
      </c>
    </row>
    <row r="174">
      <c r="A174" s="4" t="n">
        <v>45691</v>
      </c>
      <c r="B174" s="57" t="n">
        <v>4.35</v>
      </c>
    </row>
    <row r="175">
      <c r="A175" s="4" t="n">
        <v>45692</v>
      </c>
      <c r="B175" s="57" t="n">
        <v>4.33</v>
      </c>
    </row>
    <row r="176">
      <c r="A176" s="4" t="n">
        <v>45693</v>
      </c>
      <c r="B176" s="57" t="n">
        <v>4.33</v>
      </c>
    </row>
    <row r="177">
      <c r="A177" s="4" t="n">
        <v>45694</v>
      </c>
      <c r="B177" s="57" t="n">
        <v>4.36</v>
      </c>
    </row>
    <row r="178">
      <c r="A178" s="4" t="n">
        <v>45695</v>
      </c>
      <c r="B178" s="57" t="n">
        <v>4.35</v>
      </c>
    </row>
    <row r="179">
      <c r="A179" s="4" t="n">
        <v>45698</v>
      </c>
      <c r="B179" s="57" t="n">
        <v>4.35</v>
      </c>
    </row>
    <row r="180">
      <c r="A180" s="4" t="n">
        <v>45699</v>
      </c>
      <c r="B180" s="57" t="n">
        <v>4.34</v>
      </c>
    </row>
    <row r="181">
      <c r="A181" s="4" t="n">
        <v>45700</v>
      </c>
      <c r="B181" s="57" t="n">
        <v>4.32</v>
      </c>
    </row>
    <row r="182">
      <c r="A182" s="4" t="n">
        <v>45701</v>
      </c>
      <c r="B182" s="57" t="n">
        <v>4.33</v>
      </c>
    </row>
    <row r="183">
      <c r="A183" s="4" t="n">
        <v>45702</v>
      </c>
      <c r="B183" s="57" t="n">
        <v>4.33</v>
      </c>
    </row>
    <row r="184">
      <c r="A184" s="4" t="n">
        <v>45706</v>
      </c>
      <c r="B184" s="57" t="n">
        <v>4.37</v>
      </c>
    </row>
    <row r="185">
      <c r="A185" s="4" t="n">
        <v>45707</v>
      </c>
      <c r="B185" s="57" t="n">
        <v>4.35</v>
      </c>
    </row>
    <row r="186">
      <c r="A186" s="4" t="n">
        <v>45708</v>
      </c>
      <c r="B186" s="57" t="n">
        <v>4.33</v>
      </c>
    </row>
    <row r="187">
      <c r="A187" s="4" t="n">
        <v>45709</v>
      </c>
      <c r="B187" s="57" t="n">
        <v>4.34</v>
      </c>
    </row>
    <row r="188">
      <c r="A188" s="4" t="n">
        <v>45712</v>
      </c>
      <c r="B188" s="57" t="n">
        <v>4.34</v>
      </c>
    </row>
    <row r="189">
      <c r="A189" s="4" t="n">
        <v>45713</v>
      </c>
      <c r="B189" s="57" t="n">
        <v>4.33</v>
      </c>
    </row>
    <row r="190">
      <c r="A190" s="4" t="n">
        <v>45714</v>
      </c>
      <c r="B190" s="57" t="n">
        <v>4.33</v>
      </c>
    </row>
    <row r="191">
      <c r="A191" s="4" t="n">
        <v>45715</v>
      </c>
      <c r="B191" s="57" t="n">
        <v>4.36</v>
      </c>
    </row>
    <row r="192">
      <c r="A192" s="4" t="n">
        <v>45716</v>
      </c>
      <c r="B192" s="57" t="n">
        <v>4.39</v>
      </c>
    </row>
    <row r="193">
      <c r="A193" s="4" t="n">
        <v>45719</v>
      </c>
      <c r="B193" s="57" t="n">
        <v>4.33</v>
      </c>
    </row>
    <row r="194">
      <c r="A194" s="4" t="n">
        <v>45720</v>
      </c>
      <c r="B194" s="57" t="n">
        <v>4.33</v>
      </c>
    </row>
    <row r="195">
      <c r="A195" s="4" t="n">
        <v>45721</v>
      </c>
      <c r="B195" s="57" t="n">
        <v>4.33</v>
      </c>
    </row>
    <row r="196">
      <c r="A196" s="4" t="n">
        <v>45722</v>
      </c>
      <c r="B196" s="57" t="n">
        <v>4.35</v>
      </c>
    </row>
    <row r="197">
      <c r="A197" s="4" t="n">
        <v>45723</v>
      </c>
      <c r="B197" s="57" t="n">
        <v>4.34</v>
      </c>
    </row>
    <row r="198">
      <c r="A198" s="4" t="n">
        <v>45726</v>
      </c>
      <c r="B198" s="57" t="n">
        <v>4.34</v>
      </c>
    </row>
    <row r="199">
      <c r="A199" s="4" t="n">
        <v>45727</v>
      </c>
      <c r="B199" s="57" t="n">
        <v>4.34</v>
      </c>
    </row>
    <row r="200">
      <c r="A200" s="4" t="n">
        <v>45728</v>
      </c>
      <c r="B200" s="57" t="n">
        <v>4.31</v>
      </c>
    </row>
    <row r="201">
      <c r="A201" s="4" t="n">
        <v>45729</v>
      </c>
      <c r="B201" s="57" t="n">
        <v>4.3</v>
      </c>
    </row>
    <row r="202">
      <c r="A202" s="4" t="n">
        <v>45730</v>
      </c>
      <c r="B202" s="57" t="n">
        <v>4.3</v>
      </c>
    </row>
    <row r="203">
      <c r="A203" s="4" t="n">
        <v>45733</v>
      </c>
      <c r="B203" s="57" t="n">
        <v>4.32</v>
      </c>
    </row>
    <row r="204">
      <c r="A204" s="4" t="n">
        <v>45734</v>
      </c>
      <c r="B204" s="57" t="n">
        <v>4.31</v>
      </c>
    </row>
    <row r="205">
      <c r="A205" s="4" t="n">
        <v>45735</v>
      </c>
      <c r="B205" s="57" t="n">
        <v>4.29</v>
      </c>
    </row>
    <row r="206">
      <c r="A206" s="4" t="n">
        <v>45736</v>
      </c>
      <c r="B206" s="57" t="n">
        <v>4.29</v>
      </c>
    </row>
    <row r="207">
      <c r="A207" s="4" t="n">
        <v>45737</v>
      </c>
      <c r="B207" s="57" t="n">
        <v>4.3</v>
      </c>
    </row>
    <row r="208">
      <c r="A208" s="4" t="n">
        <v>45740</v>
      </c>
      <c r="B208" s="57" t="n">
        <v>4.31</v>
      </c>
    </row>
    <row r="209">
      <c r="A209" s="4" t="n">
        <v>45741</v>
      </c>
      <c r="B209" s="57" t="n">
        <v>4.33</v>
      </c>
    </row>
    <row r="210">
      <c r="A210" s="4" t="n">
        <v>45742</v>
      </c>
      <c r="B210" s="57" t="n">
        <v>4.35</v>
      </c>
    </row>
    <row r="211">
      <c r="A211" s="4" t="n">
        <v>45743</v>
      </c>
      <c r="B211" s="57" t="n">
        <v>4.36</v>
      </c>
    </row>
    <row r="212">
      <c r="A212" s="4" t="n">
        <v>45744</v>
      </c>
      <c r="B212" s="57" t="n">
        <v>4.34</v>
      </c>
    </row>
    <row r="213">
      <c r="A213" s="4" t="n">
        <v>45747</v>
      </c>
      <c r="B213" s="57" t="n">
        <v>4.41</v>
      </c>
    </row>
    <row r="214">
      <c r="A214" s="4" t="n">
        <v>45748</v>
      </c>
      <c r="B214" s="57" t="n">
        <v>4.39</v>
      </c>
    </row>
    <row r="215">
      <c r="A215" s="4" t="n">
        <v>45749</v>
      </c>
      <c r="B215" s="57" t="n">
        <v>4.37</v>
      </c>
    </row>
    <row r="216">
      <c r="A216" s="4" t="n">
        <v>45750</v>
      </c>
      <c r="B216" s="57" t="n">
        <v>4.39</v>
      </c>
    </row>
    <row r="217">
      <c r="A217" s="4" t="n">
        <v>45751</v>
      </c>
      <c r="B217" s="57" t="n">
        <v>4.35</v>
      </c>
    </row>
    <row r="218">
      <c r="A218" s="4" t="n">
        <v>45754</v>
      </c>
      <c r="B218" s="57" t="n">
        <v>4.33</v>
      </c>
    </row>
    <row r="219">
      <c r="A219" s="4" t="n">
        <v>45755</v>
      </c>
      <c r="B219" s="57" t="n">
        <v>4.4</v>
      </c>
    </row>
    <row r="220">
      <c r="A220" s="4" t="n">
        <v>45756</v>
      </c>
      <c r="B220" s="57" t="n">
        <v>4.42</v>
      </c>
    </row>
    <row r="221">
      <c r="A221" s="4" t="n">
        <v>45757</v>
      </c>
      <c r="B221" s="57" t="n">
        <v>4.37</v>
      </c>
    </row>
    <row r="222">
      <c r="A222" s="4" t="n">
        <v>45758</v>
      </c>
      <c r="B222" s="57" t="n">
        <v>4.33</v>
      </c>
    </row>
    <row r="223">
      <c r="A223" s="4" t="n">
        <v>45761</v>
      </c>
      <c r="B223" s="57" t="n">
        <v>4.33</v>
      </c>
    </row>
    <row r="224">
      <c r="A224" s="4" t="n">
        <v>45762</v>
      </c>
      <c r="B224" s="57" t="n">
        <v>4.36</v>
      </c>
    </row>
    <row r="225">
      <c r="A225" s="4" t="n">
        <v>45763</v>
      </c>
      <c r="B225" s="57" t="n">
        <v>4.31</v>
      </c>
    </row>
    <row r="226">
      <c r="A226" s="4" t="n">
        <v>45764</v>
      </c>
      <c r="B226" s="57" t="n">
        <v>4.32</v>
      </c>
    </row>
    <row r="227">
      <c r="A227" s="4" t="n">
        <v>45768</v>
      </c>
      <c r="B227" s="57" t="n">
        <v>4.32</v>
      </c>
    </row>
    <row r="228">
      <c r="A228" s="4" t="n">
        <v>45769</v>
      </c>
      <c r="B228" s="57" t="n">
        <v>4.3</v>
      </c>
    </row>
    <row r="229">
      <c r="A229" s="4" t="n">
        <v>45770</v>
      </c>
      <c r="B229" s="57" t="n">
        <v>4.28</v>
      </c>
    </row>
    <row r="230">
      <c r="A230" s="4" t="n">
        <v>45771</v>
      </c>
      <c r="B230" s="57" t="n">
        <v>4.29</v>
      </c>
    </row>
    <row r="231">
      <c r="A231" s="4" t="n">
        <v>45772</v>
      </c>
      <c r="B231" s="57" t="n">
        <v>4.33</v>
      </c>
    </row>
    <row r="232">
      <c r="A232" s="4" t="n">
        <v>45775</v>
      </c>
      <c r="B232" s="57" t="n">
        <v>4.36</v>
      </c>
    </row>
    <row r="233">
      <c r="A233" s="4" t="n">
        <v>45776</v>
      </c>
      <c r="B233" s="57" t="n">
        <v>4.36</v>
      </c>
    </row>
    <row r="234">
      <c r="A234" s="4" t="n">
        <v>45777</v>
      </c>
      <c r="B234" s="57" t="n">
        <v>4.41</v>
      </c>
    </row>
    <row r="235">
      <c r="A235" s="4" t="n">
        <v>45778</v>
      </c>
      <c r="B235" s="57" t="n">
        <v>4.39</v>
      </c>
    </row>
    <row r="236">
      <c r="A236" s="4" t="n">
        <v>45779</v>
      </c>
      <c r="B236" s="57" t="n">
        <v>4.36</v>
      </c>
    </row>
    <row r="237">
      <c r="A237" s="4" t="n">
        <v>45782</v>
      </c>
      <c r="B237" s="57" t="n">
        <v>4.33</v>
      </c>
    </row>
    <row r="238">
      <c r="A238" s="4" t="n">
        <v>45783</v>
      </c>
      <c r="B238" s="57" t="n">
        <v>4.32</v>
      </c>
    </row>
    <row r="239">
      <c r="A239" s="4" t="n">
        <v>45784</v>
      </c>
      <c r="B239" s="57" t="n">
        <v>4.3</v>
      </c>
    </row>
    <row r="240">
      <c r="A240" s="4" t="n">
        <v>45785</v>
      </c>
      <c r="B240" s="57" t="n">
        <v>4.29</v>
      </c>
    </row>
    <row r="241">
      <c r="A241" s="4" t="n">
        <v>45786</v>
      </c>
      <c r="B241" s="57" t="n">
        <v>4.28</v>
      </c>
    </row>
    <row r="242">
      <c r="A242" s="4" t="n">
        <v>45789</v>
      </c>
      <c r="B242" s="57" t="n">
        <v>4.28</v>
      </c>
    </row>
    <row r="243">
      <c r="A243" s="4" t="n">
        <v>45790</v>
      </c>
      <c r="B243" s="57" t="n">
        <v>4.3</v>
      </c>
    </row>
    <row r="244">
      <c r="A244" s="4" t="n">
        <v>45791</v>
      </c>
      <c r="B244" s="57" t="n">
        <v>4.29</v>
      </c>
    </row>
    <row r="245">
      <c r="A245" s="4" t="n">
        <v>45792</v>
      </c>
      <c r="B245" s="57" t="n">
        <v>4.31</v>
      </c>
    </row>
    <row r="246">
      <c r="A246" s="4" t="n">
        <v>45793</v>
      </c>
      <c r="B246" s="57" t="n">
        <v>4.3</v>
      </c>
    </row>
    <row r="247">
      <c r="A247" s="4" t="n">
        <v>45796</v>
      </c>
      <c r="B247" s="57" t="n">
        <v>4.29</v>
      </c>
    </row>
    <row r="248">
      <c r="A248" s="4" t="n">
        <v>45797</v>
      </c>
      <c r="B248" s="57" t="n">
        <v>4.27</v>
      </c>
    </row>
    <row r="249">
      <c r="A249" s="4" t="n">
        <v>45798</v>
      </c>
      <c r="B249" s="57" t="n">
        <v>4.26</v>
      </c>
    </row>
    <row r="250">
      <c r="A250" s="4" t="n">
        <v>45799</v>
      </c>
      <c r="B250" s="57" t="n">
        <v>4.26</v>
      </c>
    </row>
    <row r="251">
      <c r="A251" s="4" t="n">
        <v>45800</v>
      </c>
      <c r="B251" s="57" t="n">
        <v>4.26</v>
      </c>
    </row>
    <row r="252">
      <c r="A252" s="4" t="n">
        <v>45804</v>
      </c>
      <c r="B252" s="57" t="n">
        <v>4.31</v>
      </c>
    </row>
    <row r="253">
      <c r="A253" s="4" t="n">
        <v>45805</v>
      </c>
      <c r="B253" s="57" t="n">
        <v>4.33</v>
      </c>
    </row>
    <row r="254">
      <c r="A254" s="4" t="n">
        <v>45806</v>
      </c>
      <c r="B254" s="57" t="n">
        <v>4.33</v>
      </c>
    </row>
    <row r="255">
      <c r="A255" s="4" t="n">
        <v>45807</v>
      </c>
      <c r="B255" s="57" t="n">
        <v>4.35</v>
      </c>
    </row>
    <row r="256">
      <c r="A256" s="4" t="n">
        <v>45810</v>
      </c>
      <c r="B256" s="57" t="n">
        <v>4.35</v>
      </c>
    </row>
    <row r="257">
      <c r="A257" s="4" t="n">
        <v>45811</v>
      </c>
      <c r="B257" s="57" t="n">
        <v>4.32</v>
      </c>
    </row>
    <row r="258">
      <c r="A258" s="4" t="n">
        <v>45812</v>
      </c>
      <c r="B258" s="57" t="n">
        <v>4.28</v>
      </c>
    </row>
    <row r="259">
      <c r="A259" s="4" t="n">
        <v>45813</v>
      </c>
      <c r="B259" s="57" t="n">
        <v>4.29</v>
      </c>
    </row>
    <row r="260">
      <c r="A260" s="4" t="n">
        <v>45814</v>
      </c>
      <c r="B260" s="57" t="n">
        <v>4.29</v>
      </c>
    </row>
    <row r="261">
      <c r="A261" s="4" t="n">
        <v>45817</v>
      </c>
      <c r="B261" s="57" t="n">
        <v>4.29</v>
      </c>
    </row>
    <row r="262">
      <c r="A262" s="4" t="n">
        <v>45818</v>
      </c>
      <c r="B262" s="57" t="n">
        <v>4.29</v>
      </c>
    </row>
    <row r="263">
      <c r="A263" s="4" t="n">
        <v>45819</v>
      </c>
      <c r="B263" s="57" t="n">
        <v>4.29</v>
      </c>
    </row>
    <row r="264">
      <c r="A264" s="4" t="n">
        <v>45820</v>
      </c>
      <c r="B264" s="57" t="n">
        <v>4.28</v>
      </c>
    </row>
    <row r="265">
      <c r="A265" s="4" t="n">
        <v>45821</v>
      </c>
      <c r="B265" s="57" t="n">
        <v>4.28</v>
      </c>
    </row>
    <row r="266">
      <c r="A266" s="4" t="n">
        <v>45824</v>
      </c>
      <c r="B266" s="57" t="n">
        <v>4.32</v>
      </c>
    </row>
    <row r="267">
      <c r="A267" s="4" t="n">
        <v>45825</v>
      </c>
      <c r="B267" s="57" t="n">
        <v>4.31</v>
      </c>
    </row>
    <row r="268">
      <c r="A268" s="4" t="n">
        <v>45826</v>
      </c>
      <c r="B268" s="57" t="n">
        <v>4.28</v>
      </c>
    </row>
    <row r="269">
      <c r="A269" s="4" t="n">
        <v>45828</v>
      </c>
      <c r="B269" s="57" t="n">
        <v>4.29</v>
      </c>
    </row>
    <row r="270">
      <c r="A270" s="4" t="n">
        <v>45831</v>
      </c>
      <c r="B270" s="57" t="n">
        <v>4.29</v>
      </c>
    </row>
    <row r="271">
      <c r="A271" s="4" t="n">
        <v>45832</v>
      </c>
      <c r="B271" s="57" t="n">
        <v>4.3</v>
      </c>
    </row>
    <row r="272">
      <c r="A272" s="4" t="n">
        <v>45833</v>
      </c>
      <c r="B272" s="57" t="n">
        <v>4.36</v>
      </c>
    </row>
    <row r="273">
      <c r="A273" s="4" t="n">
        <v>45834</v>
      </c>
      <c r="B273" s="57" t="n">
        <v>4.4</v>
      </c>
    </row>
    <row r="274">
      <c r="A274" s="4" t="n">
        <v>45835</v>
      </c>
      <c r="B274" s="57" t="n">
        <v>4.39</v>
      </c>
    </row>
    <row r="275">
      <c r="A275" s="4" t="n">
        <v>45838</v>
      </c>
      <c r="B275" s="57" t="n">
        <v>4.45</v>
      </c>
    </row>
    <row r="276">
      <c r="A276" s="4" t="n">
        <v>45839</v>
      </c>
      <c r="B276" s="57" t="n">
        <v>4.44</v>
      </c>
    </row>
    <row r="277">
      <c r="A277" s="4" t="n">
        <v>45840</v>
      </c>
      <c r="B277" s="57" t="n">
        <v>4.4</v>
      </c>
    </row>
    <row r="278">
      <c r="A278" s="4" t="n">
        <v>45841</v>
      </c>
      <c r="B278" s="57" t="n">
        <v>4.35</v>
      </c>
    </row>
    <row r="279">
      <c r="A279" s="4" t="n">
        <v>45845</v>
      </c>
      <c r="B279" s="57" t="n">
        <v>4.33</v>
      </c>
    </row>
    <row r="280">
      <c r="A280" s="4" t="n">
        <v>45846</v>
      </c>
      <c r="B280" s="57" t="n">
        <v>4.34</v>
      </c>
    </row>
    <row r="281">
      <c r="A281" s="4" t="n">
        <v>45847</v>
      </c>
      <c r="B281" s="57" t="n">
        <v>4.32</v>
      </c>
    </row>
    <row r="282">
      <c r="A282" s="4" t="n">
        <v>45848</v>
      </c>
      <c r="B282" s="57" t="n">
        <v>4.31</v>
      </c>
    </row>
    <row r="283">
      <c r="A283" s="4" t="n">
        <v>45849</v>
      </c>
      <c r="B283" s="57" t="n">
        <v>4.31</v>
      </c>
    </row>
    <row r="284">
      <c r="A284" s="4" t="n">
        <v>45852</v>
      </c>
      <c r="B284" s="57" t="n">
        <v>4.33</v>
      </c>
    </row>
    <row r="285">
      <c r="A285" s="4" t="n">
        <v>45853</v>
      </c>
      <c r="B285" s="57" t="n">
        <v>4.37</v>
      </c>
    </row>
    <row r="286">
      <c r="A286" s="4" t="n">
        <v>45854</v>
      </c>
      <c r="B286" s="57" t="n">
        <v>4.34</v>
      </c>
    </row>
    <row r="287">
      <c r="A287" s="4" t="n">
        <v>45855</v>
      </c>
      <c r="B287" s="57" t="n">
        <v>4.34</v>
      </c>
    </row>
    <row r="288">
      <c r="A288" s="4" t="n">
        <v>45856</v>
      </c>
      <c r="B288" s="57" t="n">
        <v>4.3</v>
      </c>
    </row>
    <row r="289">
      <c r="A289" s="4" t="n">
        <v>45859</v>
      </c>
      <c r="B289" s="57" t="n">
        <v>4.28</v>
      </c>
    </row>
    <row r="290">
      <c r="A290" s="4" t="n">
        <v>45860</v>
      </c>
      <c r="B290" s="57" t="n">
        <v>4.28</v>
      </c>
    </row>
    <row r="291">
      <c r="A291" s="4" t="n">
        <v>45861</v>
      </c>
      <c r="B291" s="57" t="n">
        <v>4.28</v>
      </c>
    </row>
    <row r="292">
      <c r="A292" s="4" t="n">
        <v>45862</v>
      </c>
      <c r="B292" s="57" t="n">
        <v>4.3</v>
      </c>
    </row>
    <row r="293">
      <c r="A293" s="4" t="n">
        <v>45863</v>
      </c>
      <c r="B293" s="57" t="n">
        <v>4.36</v>
      </c>
    </row>
    <row r="294">
      <c r="A294" s="4" t="n">
        <v>45866</v>
      </c>
      <c r="B294" s="57" t="n">
        <v>4.36</v>
      </c>
    </row>
    <row r="295">
      <c r="A295" s="4" t="n">
        <v>45867</v>
      </c>
      <c r="B295" s="57" t="n">
        <v>4.36</v>
      </c>
    </row>
    <row r="296">
      <c r="A296" s="4" t="n">
        <v>45868</v>
      </c>
      <c r="B296" s="57" t="n">
        <v>4.32</v>
      </c>
    </row>
    <row r="297">
      <c r="A297" s="4" t="n">
        <v>45869</v>
      </c>
      <c r="B297" s="57" t="n">
        <v>4.39</v>
      </c>
    </row>
    <row r="298">
      <c r="A298" s="4" t="n">
        <v>45870</v>
      </c>
      <c r="B298" s="57" t="n">
        <v>4.34</v>
      </c>
    </row>
    <row r="299">
      <c r="A299" s="4" t="n">
        <v>45873</v>
      </c>
      <c r="B299" s="57" t="n">
        <v>4.33</v>
      </c>
    </row>
    <row r="300">
      <c r="A300" s="4" t="n">
        <v>45874</v>
      </c>
      <c r="B300" s="57" t="n">
        <v>4.34</v>
      </c>
    </row>
    <row r="301">
      <c r="A301" s="4" t="n">
        <v>45875</v>
      </c>
      <c r="B301" s="57" t="n">
        <v>4.34</v>
      </c>
    </row>
    <row r="302">
      <c r="A302" s="4" t="n">
        <v>45876</v>
      </c>
      <c r="B302" s="57" t="n">
        <v>4.35</v>
      </c>
    </row>
    <row r="303">
      <c r="A303" s="4" t="n">
        <v>45877</v>
      </c>
      <c r="B303" s="57" t="n">
        <v>4.35</v>
      </c>
    </row>
    <row r="304">
      <c r="A304" s="4" t="n">
        <v>45880</v>
      </c>
      <c r="B304" s="57" t="n">
        <v>4.34</v>
      </c>
    </row>
    <row r="305">
      <c r="A305" s="4" t="n">
        <v>45881</v>
      </c>
      <c r="B305" s="57" t="n">
        <v>4.36</v>
      </c>
    </row>
    <row r="306">
      <c r="A306" s="4" t="n">
        <v>45882</v>
      </c>
      <c r="B306" s="57" t="n">
        <v>4.33</v>
      </c>
    </row>
    <row r="307">
      <c r="A307" s="4" t="n">
        <v>45883</v>
      </c>
      <c r="B307" s="57" t="n">
        <v>4.34</v>
      </c>
    </row>
    <row r="308">
      <c r="A308" s="4" t="n">
        <v>45884</v>
      </c>
      <c r="B308" s="57" t="n">
        <v>4.36</v>
      </c>
    </row>
    <row r="309">
      <c r="A309" s="4" t="n">
        <v>45887</v>
      </c>
      <c r="B309" s="57" t="n">
        <v>4.34</v>
      </c>
    </row>
    <row r="310">
      <c r="A310" s="4" t="n">
        <v>45888</v>
      </c>
      <c r="B310" s="57" t="n">
        <v>4.33</v>
      </c>
    </row>
    <row r="311">
      <c r="A311" s="4" t="n">
        <v>45889</v>
      </c>
      <c r="B311" s="57" t="n">
        <v>4.31</v>
      </c>
    </row>
    <row r="312">
      <c r="A312" s="4" t="n">
        <v>45890</v>
      </c>
      <c r="B312" s="57" t="n">
        <v>4.32</v>
      </c>
    </row>
    <row r="313">
      <c r="A313" s="4" t="n">
        <v>45891</v>
      </c>
      <c r="B313" s="57" t="n">
        <v>4.36</v>
      </c>
    </row>
    <row r="314">
      <c r="A314" s="4" t="n">
        <v>45894</v>
      </c>
      <c r="B314" s="57" t="n">
        <v>4.37</v>
      </c>
    </row>
    <row r="315">
      <c r="A315" s="4" t="n">
        <v>45895</v>
      </c>
      <c r="B315" s="57" t="n">
        <v>4.38</v>
      </c>
    </row>
    <row r="316">
      <c r="A316" s="4" t="n">
        <v>45896</v>
      </c>
      <c r="B316" s="57" t="n">
        <v>4.36</v>
      </c>
    </row>
    <row r="317">
      <c r="A317" s="4" t="n">
        <v>45897</v>
      </c>
      <c r="B317" s="57" t="n">
        <v>4.34</v>
      </c>
    </row>
    <row r="318">
      <c r="A318" s="4" t="n">
        <v>45898</v>
      </c>
      <c r="B318" s="57" t="n">
        <v>4.34</v>
      </c>
    </row>
    <row r="319">
      <c r="A319" s="4" t="n">
        <v>45902</v>
      </c>
      <c r="B319" s="57" t="n">
        <v>4.39</v>
      </c>
    </row>
    <row r="320">
      <c r="A320" s="4" t="n">
        <v>45903</v>
      </c>
      <c r="B320" s="57" t="n">
        <v>4.39</v>
      </c>
    </row>
    <row r="321">
      <c r="A321" s="4" t="n">
        <v>45904</v>
      </c>
      <c r="B321" s="57" t="n">
        <v>4.41</v>
      </c>
    </row>
    <row r="322">
      <c r="A322" s="4" t="n">
        <v>45905</v>
      </c>
      <c r="B322" s="57" t="n">
        <v>4.42</v>
      </c>
    </row>
    <row r="323">
      <c r="A323" s="4" t="n">
        <v>45908</v>
      </c>
      <c r="B323" s="57" t="n">
        <v>4.4</v>
      </c>
    </row>
    <row r="324">
      <c r="A324" s="4" t="n">
        <v>45909</v>
      </c>
      <c r="B324" s="57" t="n">
        <v>4.4</v>
      </c>
    </row>
    <row r="325">
      <c r="A325" s="4" t="n">
        <v>45910</v>
      </c>
      <c r="B325" s="57" t="n">
        <v>4.4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工作表3">
    <outlinePr summaryBelow="1" summaryRight="1"/>
    <pageSetUpPr/>
  </sheetPr>
  <dimension ref="A1:R47"/>
  <sheetViews>
    <sheetView zoomScaleNormal="100" workbookViewId="0">
      <selection activeCell="N16" sqref="N16"/>
    </sheetView>
  </sheetViews>
  <sheetFormatPr baseColWidth="8" defaultRowHeight="15"/>
  <cols>
    <col width="11.85546875" bestFit="1" customWidth="1" style="57" min="1" max="1"/>
    <col width="16.42578125" bestFit="1" customWidth="1" style="57" min="2" max="2"/>
    <col width="9.140625" customWidth="1" style="57" min="3" max="4"/>
    <col width="11.85546875" bestFit="1" customWidth="1" style="57" min="5" max="5"/>
    <col width="16.42578125" bestFit="1" customWidth="1" style="57" min="6" max="6"/>
    <col width="9.140625" customWidth="1" style="57" min="7" max="10"/>
    <col width="11.85546875" bestFit="1" customWidth="1" style="57" min="11" max="11"/>
    <col width="16.42578125" bestFit="1" customWidth="1" style="57" min="12" max="12"/>
    <col width="11.7109375" bestFit="1" customWidth="1" style="57" min="13" max="13"/>
    <col width="9.85546875" bestFit="1" customWidth="1" style="57" min="14" max="14"/>
    <col width="9.140625" customWidth="1" style="57" min="15" max="15"/>
    <col width="11.85546875" bestFit="1" customWidth="1" style="57" min="16" max="16"/>
    <col width="16.42578125" bestFit="1" customWidth="1" style="57" min="17" max="17"/>
    <col width="11.7109375" bestFit="1" customWidth="1" style="57" min="18" max="18"/>
    <col width="13" bestFit="1" customWidth="1" style="57" min="19" max="19"/>
    <col width="9.140625" customWidth="1" style="57" min="20" max="286"/>
    <col width="9.140625" customWidth="1" style="57" min="287" max="16384"/>
  </cols>
  <sheetData>
    <row r="1">
      <c r="A1" s="31" t="inlineStr">
        <is>
          <t>Principal</t>
        </is>
      </c>
      <c r="B1" s="31" t="n"/>
      <c r="C1" s="31" t="n"/>
      <c r="D1" s="31" t="n"/>
      <c r="E1" s="31" t="n"/>
      <c r="F1" s="31" t="n"/>
      <c r="K1" s="30" t="inlineStr">
        <is>
          <t>Interest</t>
        </is>
      </c>
      <c r="L1" s="30" t="n"/>
      <c r="M1" s="30" t="n"/>
      <c r="N1" s="30" t="n"/>
      <c r="O1" s="30" t="n"/>
      <c r="P1" s="30" t="n"/>
      <c r="Q1" s="30" t="n"/>
      <c r="R1" s="30" t="n"/>
    </row>
    <row r="2">
      <c r="A2" s="29" t="inlineStr">
        <is>
          <t>Booking_ID</t>
        </is>
      </c>
      <c r="B2" s="57" t="inlineStr">
        <is>
          <t>CCS-001</t>
        </is>
      </c>
      <c r="E2" s="29" t="inlineStr">
        <is>
          <t>Booking_ID</t>
        </is>
      </c>
      <c r="F2" s="57" t="inlineStr">
        <is>
          <t>CCS-001</t>
        </is>
      </c>
      <c r="K2" s="29" t="inlineStr">
        <is>
          <t>Booking_ID</t>
        </is>
      </c>
      <c r="L2" s="57" t="inlineStr">
        <is>
          <t>CCS-001</t>
        </is>
      </c>
      <c r="P2" s="29" t="inlineStr">
        <is>
          <t>Booking_ID</t>
        </is>
      </c>
      <c r="Q2" s="57" t="inlineStr">
        <is>
          <t>CCS-001</t>
        </is>
      </c>
    </row>
    <row r="3">
      <c r="A3" s="29" t="inlineStr">
        <is>
          <t>Type</t>
        </is>
      </c>
      <c r="B3" s="57" t="inlineStr">
        <is>
          <t>Cashflow</t>
        </is>
      </c>
      <c r="E3" s="29" t="inlineStr">
        <is>
          <t>Type</t>
        </is>
      </c>
      <c r="F3" s="57" t="inlineStr">
        <is>
          <t>Cashflow</t>
        </is>
      </c>
      <c r="K3" s="29" t="inlineStr">
        <is>
          <t>Type</t>
        </is>
      </c>
      <c r="L3" s="57" t="inlineStr">
        <is>
          <t>(多重項目)</t>
        </is>
      </c>
      <c r="P3" s="29" t="inlineStr">
        <is>
          <t>Type</t>
        </is>
      </c>
      <c r="Q3" s="57" t="inlineStr">
        <is>
          <t>(多重項目)</t>
        </is>
      </c>
    </row>
    <row r="4">
      <c r="A4" s="29" t="inlineStr">
        <is>
          <t>Ccy</t>
        </is>
      </c>
      <c r="B4" s="57" t="inlineStr">
        <is>
          <t>THB</t>
        </is>
      </c>
      <c r="E4" s="29" t="inlineStr">
        <is>
          <t>Ccy</t>
        </is>
      </c>
      <c r="F4" s="57" t="inlineStr">
        <is>
          <t>JPY</t>
        </is>
      </c>
      <c r="K4" s="29" t="inlineStr">
        <is>
          <t>Ccy</t>
        </is>
      </c>
      <c r="L4" s="57" t="inlineStr">
        <is>
          <t>THB</t>
        </is>
      </c>
      <c r="P4" s="29" t="inlineStr">
        <is>
          <t>Ccy</t>
        </is>
      </c>
      <c r="Q4" s="57" t="inlineStr">
        <is>
          <t>JPY</t>
        </is>
      </c>
    </row>
    <row r="6" ht="15.75" customHeight="1" s="22">
      <c r="A6" s="29" t="inlineStr">
        <is>
          <t>列標籤</t>
        </is>
      </c>
      <c r="B6" s="57" t="inlineStr">
        <is>
          <t>加總 - Cashflow</t>
        </is>
      </c>
      <c r="E6" s="29" t="inlineStr">
        <is>
          <t>列標籤</t>
        </is>
      </c>
      <c r="F6" s="57" t="inlineStr">
        <is>
          <t>加總 - Cashflow</t>
        </is>
      </c>
      <c r="L6" s="57" t="inlineStr">
        <is>
          <t>加總 - Cashflow</t>
        </is>
      </c>
      <c r="M6" s="57" t="inlineStr">
        <is>
          <t>加總 - Rate</t>
        </is>
      </c>
      <c r="Q6" s="57" t="inlineStr">
        <is>
          <t>加總 - Cashflow</t>
        </is>
      </c>
      <c r="R6" s="57" t="inlineStr">
        <is>
          <t>加總 - Rate</t>
        </is>
      </c>
    </row>
    <row r="7" ht="15.75" customHeight="1" s="22">
      <c r="A7" s="32" t="n">
        <v>45912</v>
      </c>
      <c r="B7" s="70" t="n">
        <v>-1000000</v>
      </c>
      <c r="E7" s="32" t="n">
        <v>45912</v>
      </c>
      <c r="F7" s="57" t="n">
        <v>4642485.53092613</v>
      </c>
      <c r="K7" s="32" t="n">
        <v>45946</v>
      </c>
      <c r="L7" s="71" t="n">
        <v>1315.068493150685</v>
      </c>
      <c r="M7" s="33" t="n">
        <v>1.5</v>
      </c>
      <c r="P7" s="32" t="n">
        <v>45946</v>
      </c>
      <c r="Q7" s="71" t="n">
        <v>-1948.861540047854</v>
      </c>
      <c r="R7" s="33" t="n">
        <v>0.4788211356414573</v>
      </c>
    </row>
    <row r="8" ht="15.75" customHeight="1" s="22">
      <c r="A8" s="32" t="n">
        <v>49594</v>
      </c>
      <c r="B8" s="70" t="n">
        <v>1000000</v>
      </c>
      <c r="E8" s="32" t="n">
        <v>49594</v>
      </c>
      <c r="F8" s="57" t="n">
        <v>-4642485.53092613</v>
      </c>
      <c r="K8" s="32" t="n">
        <v>46037</v>
      </c>
      <c r="L8" s="71" t="n">
        <v>3739.726027397261</v>
      </c>
      <c r="M8" s="33" t="n">
        <v>1.5</v>
      </c>
      <c r="P8" s="32" t="n">
        <v>46037</v>
      </c>
      <c r="Q8" s="71" t="n">
        <v>-6383.886792950041</v>
      </c>
      <c r="R8" s="33" t="n">
        <v>0.5515515256503645</v>
      </c>
    </row>
    <row r="9" ht="15.75" customHeight="1" s="22">
      <c r="K9" s="32" t="n">
        <v>46127</v>
      </c>
      <c r="L9" s="71" t="n">
        <v>3698.630136986301</v>
      </c>
      <c r="M9" s="33" t="n">
        <v>1.5</v>
      </c>
      <c r="P9" s="32" t="n">
        <v>46127</v>
      </c>
      <c r="Q9" s="71" t="n">
        <v>-7823.95830707913</v>
      </c>
      <c r="R9" s="33" t="n">
        <v>0.6834808071524542</v>
      </c>
    </row>
    <row r="10" ht="15.75" customHeight="1" s="22">
      <c r="K10" s="32" t="n">
        <v>46218</v>
      </c>
      <c r="L10" s="71" t="n">
        <v>3739.726027397261</v>
      </c>
      <c r="M10" s="33" t="n">
        <v>1.5</v>
      </c>
      <c r="P10" s="32" t="n">
        <v>46218</v>
      </c>
      <c r="Q10" s="71" t="n">
        <v>-9011.071393338645</v>
      </c>
      <c r="R10" s="33" t="n">
        <v>0.7785335698980307</v>
      </c>
    </row>
    <row r="11" ht="15.75" customHeight="1" s="22">
      <c r="K11" s="32" t="n">
        <v>46310</v>
      </c>
      <c r="L11" s="71" t="n">
        <v>3780.821917808219</v>
      </c>
      <c r="M11" s="33" t="n">
        <v>1.5</v>
      </c>
      <c r="P11" s="32" t="n">
        <v>46310</v>
      </c>
      <c r="Q11" s="71" t="n">
        <v>-10120.34200094048</v>
      </c>
      <c r="R11" s="33" t="n">
        <v>0.8648676788346938</v>
      </c>
    </row>
    <row r="12" ht="15.75" customHeight="1" s="22">
      <c r="K12" s="32" t="n">
        <v>46401</v>
      </c>
      <c r="L12" s="71" t="n">
        <v>3739.726027397261</v>
      </c>
      <c r="M12" s="33" t="n">
        <v>1.5</v>
      </c>
      <c r="P12" s="32" t="n">
        <v>46401</v>
      </c>
      <c r="Q12" s="71" t="n">
        <v>-10757.62770814577</v>
      </c>
      <c r="R12" s="33" t="n">
        <v>0.9294315778529917</v>
      </c>
    </row>
    <row r="13" ht="15.75" customHeight="1" s="22">
      <c r="K13" s="32" t="n">
        <v>46491</v>
      </c>
      <c r="L13" s="71" t="n">
        <v>3698.630136986301</v>
      </c>
      <c r="M13" s="33" t="n">
        <v>1.5</v>
      </c>
      <c r="P13" s="32" t="n">
        <v>46491</v>
      </c>
      <c r="Q13" s="71" t="n">
        <v>-11277.64343096289</v>
      </c>
      <c r="R13" s="33" t="n">
        <v>0.9851858269742864</v>
      </c>
    </row>
    <row r="14" ht="15.75" customHeight="1" s="22">
      <c r="K14" s="32" t="n">
        <v>46582</v>
      </c>
      <c r="L14" s="71" t="n">
        <v>3739.726027397261</v>
      </c>
      <c r="M14" s="33" t="n">
        <v>1.5</v>
      </c>
      <c r="P14" s="32" t="n">
        <v>46582</v>
      </c>
      <c r="Q14" s="71" t="n">
        <v>-11879.89460199725</v>
      </c>
      <c r="R14" s="33" t="n">
        <v>1.026392573178637</v>
      </c>
    </row>
    <row r="15" ht="15.75" customHeight="1" s="22">
      <c r="K15" s="32" t="n">
        <v>46674</v>
      </c>
      <c r="L15" s="71" t="n">
        <v>3780.821917808219</v>
      </c>
      <c r="M15" s="33" t="n">
        <v>1.5</v>
      </c>
      <c r="P15" s="32" t="n">
        <v>46674</v>
      </c>
      <c r="Q15" s="71" t="n">
        <v>-12193.81889186436</v>
      </c>
      <c r="R15" s="33" t="n">
        <v>1.042063582451791</v>
      </c>
    </row>
    <row r="16" ht="15.75" customHeight="1" s="22">
      <c r="K16" s="32" t="n">
        <v>46766</v>
      </c>
      <c r="L16" s="71" t="n">
        <v>3780.821917808219</v>
      </c>
      <c r="M16" s="33" t="n">
        <v>1.5</v>
      </c>
      <c r="P16" s="32" t="n">
        <v>46766</v>
      </c>
      <c r="Q16" s="71" t="n">
        <v>-12335.10277171786</v>
      </c>
      <c r="R16" s="33" t="n">
        <v>1.054137469007631</v>
      </c>
    </row>
    <row r="17" ht="15.75" customHeight="1" s="22">
      <c r="K17" s="32" t="n">
        <v>46857</v>
      </c>
      <c r="L17" s="71" t="n">
        <v>3739.726027397261</v>
      </c>
      <c r="M17" s="33" t="n">
        <v>1.5</v>
      </c>
      <c r="P17" s="32" t="n">
        <v>46857</v>
      </c>
      <c r="Q17" s="71" t="n">
        <v>-12727.71495044001</v>
      </c>
      <c r="R17" s="33" t="n">
        <v>1.09964208743654</v>
      </c>
    </row>
    <row r="18" ht="15.75" customHeight="1" s="22">
      <c r="K18" s="32" t="n">
        <v>46948</v>
      </c>
      <c r="L18" s="71" t="n">
        <v>3739.726027397261</v>
      </c>
      <c r="M18" s="33" t="n">
        <v>1.5</v>
      </c>
      <c r="P18" s="32" t="n">
        <v>46948</v>
      </c>
      <c r="Q18" s="71" t="n">
        <v>-13248.87446144236</v>
      </c>
      <c r="R18" s="33" t="n">
        <v>1.144668939058968</v>
      </c>
    </row>
    <row r="19" ht="15.75" customHeight="1" s="22">
      <c r="K19" s="32" t="n">
        <v>47042</v>
      </c>
      <c r="L19" s="71" t="n">
        <v>3780.821917808219</v>
      </c>
      <c r="M19" s="33" t="n">
        <v>1.5</v>
      </c>
      <c r="P19" s="32" t="n">
        <v>47042</v>
      </c>
      <c r="Q19" s="71" t="n">
        <v>-13689.40559511024</v>
      </c>
      <c r="R19" s="33" t="n">
        <v>1.169873947003908</v>
      </c>
    </row>
    <row r="20" ht="15.75" customHeight="1" s="22">
      <c r="K20" s="32" t="n">
        <v>47134</v>
      </c>
      <c r="L20" s="71" t="n">
        <v>3780.821917808219</v>
      </c>
      <c r="M20" s="33" t="n">
        <v>1.5</v>
      </c>
      <c r="P20" s="32" t="n">
        <v>47134</v>
      </c>
      <c r="Q20" s="71" t="n">
        <v>-13420.31987507908</v>
      </c>
      <c r="R20" s="33" t="n">
        <v>1.146878326690949</v>
      </c>
    </row>
    <row r="21" ht="15.75" customHeight="1" s="22">
      <c r="K21" s="32" t="n">
        <v>47224</v>
      </c>
      <c r="L21" s="71" t="n">
        <v>3698.630136986301</v>
      </c>
      <c r="M21" s="33" t="n">
        <v>1.5</v>
      </c>
      <c r="P21" s="32" t="n">
        <v>47224</v>
      </c>
      <c r="Q21" s="71" t="n">
        <v>-13494.26804654288</v>
      </c>
      <c r="R21" s="33" t="n">
        <v>1.178824433156507</v>
      </c>
    </row>
    <row r="22" ht="15.75" customHeight="1" s="22">
      <c r="K22" s="32" t="n">
        <v>47316</v>
      </c>
      <c r="L22" s="71" t="n">
        <v>3739.726027397261</v>
      </c>
      <c r="M22" s="33" t="n">
        <v>1.5</v>
      </c>
      <c r="P22" s="32" t="n">
        <v>47316</v>
      </c>
      <c r="Q22" s="71" t="n">
        <v>-14012.60567303822</v>
      </c>
      <c r="R22" s="33" t="n">
        <v>1.210653366509607</v>
      </c>
    </row>
    <row r="23" ht="15.75" customHeight="1" s="22">
      <c r="K23" s="32" t="n">
        <v>47407</v>
      </c>
      <c r="L23" s="71" t="n">
        <v>3780.821917808219</v>
      </c>
      <c r="M23" s="33" t="n">
        <v>1.5</v>
      </c>
      <c r="P23" s="32" t="n">
        <v>47407</v>
      </c>
      <c r="Q23" s="71" t="n">
        <v>-14440.75346732135</v>
      </c>
      <c r="R23" s="33" t="n">
        <v>1.234082892726911</v>
      </c>
    </row>
    <row r="24" ht="15.75" customHeight="1" s="22">
      <c r="K24" s="32" t="n">
        <v>47500</v>
      </c>
      <c r="L24" s="71" t="n">
        <v>3904.109589041096</v>
      </c>
      <c r="M24" s="33" t="n">
        <v>1.5</v>
      </c>
      <c r="P24" s="32" t="n">
        <v>47500</v>
      </c>
      <c r="Q24" s="71" t="n">
        <v>-14958.5809954329</v>
      </c>
      <c r="R24" s="33" t="n">
        <v>1.237967084422151</v>
      </c>
    </row>
    <row r="25" ht="15.75" customHeight="1" s="22">
      <c r="K25" s="32" t="n">
        <v>47589</v>
      </c>
      <c r="L25" s="71" t="n">
        <v>3575.342465753425</v>
      </c>
      <c r="M25" s="33" t="n">
        <v>1.5</v>
      </c>
      <c r="P25" s="32" t="n">
        <v>47589</v>
      </c>
      <c r="Q25" s="71" t="n">
        <v>-14003.53994342705</v>
      </c>
      <c r="R25" s="33" t="n">
        <v>1.265496322591221</v>
      </c>
    </row>
    <row r="26" ht="15.75" customHeight="1" s="22">
      <c r="K26" s="32" t="n">
        <v>47681</v>
      </c>
      <c r="L26" s="71" t="n">
        <v>3739.726027397261</v>
      </c>
      <c r="M26" s="33" t="n">
        <v>1.5</v>
      </c>
      <c r="P26" s="32" t="n">
        <v>47681</v>
      </c>
      <c r="Q26" s="71" t="n">
        <v>-14961.99077028078</v>
      </c>
      <c r="R26" s="33" t="n">
        <v>1.292677815845413</v>
      </c>
    </row>
    <row r="27" ht="15.75" customHeight="1" s="22">
      <c r="K27" s="32" t="n">
        <v>47773</v>
      </c>
      <c r="L27" s="71" t="n">
        <v>3904.109589041096</v>
      </c>
      <c r="M27" s="33" t="n">
        <v>1.5</v>
      </c>
      <c r="P27" s="32" t="n">
        <v>47773</v>
      </c>
      <c r="Q27" s="71" t="n">
        <v>-15989.09347533772</v>
      </c>
      <c r="R27" s="33" t="n">
        <v>1.32325194737793</v>
      </c>
    </row>
    <row r="28" ht="15.75" customHeight="1" s="22">
      <c r="K28" s="32" t="n">
        <v>47864</v>
      </c>
      <c r="L28" s="71" t="n">
        <v>3739.726027397261</v>
      </c>
      <c r="M28" s="33" t="n">
        <v>1.5</v>
      </c>
      <c r="P28" s="32" t="n">
        <v>47864</v>
      </c>
      <c r="Q28" s="71" t="n">
        <v>-15714.77589518903</v>
      </c>
      <c r="R28" s="33" t="n">
        <v>1.357716529343366</v>
      </c>
    </row>
    <row r="29" ht="15.75" customHeight="1" s="22">
      <c r="K29" s="32" t="n">
        <v>47954</v>
      </c>
      <c r="L29" s="71" t="n">
        <v>3698.630136986301</v>
      </c>
      <c r="M29" s="33" t="n">
        <v>1.5</v>
      </c>
      <c r="P29" s="32" t="n">
        <v>47954</v>
      </c>
      <c r="Q29" s="71" t="n">
        <v>-15866.07506892979</v>
      </c>
      <c r="R29" s="33" t="n">
        <v>1.386019373932726</v>
      </c>
    </row>
    <row r="30" ht="15.75" customHeight="1" s="22">
      <c r="K30" s="32" t="n">
        <v>48045</v>
      </c>
      <c r="L30" s="71" t="n">
        <v>3739.726027397261</v>
      </c>
      <c r="M30" s="33" t="n">
        <v>1.5</v>
      </c>
      <c r="P30" s="32" t="n">
        <v>48045</v>
      </c>
      <c r="Q30" s="71" t="n">
        <v>-16370.58526296147</v>
      </c>
      <c r="R30" s="33" t="n">
        <v>1.41437678493094</v>
      </c>
    </row>
    <row r="31" ht="15.75" customHeight="1" s="22">
      <c r="K31" s="32" t="n">
        <v>48137</v>
      </c>
      <c r="L31" s="71" t="n">
        <v>3780.821917808219</v>
      </c>
      <c r="M31" s="33" t="n">
        <v>1.5</v>
      </c>
      <c r="P31" s="32" t="n">
        <v>48137</v>
      </c>
      <c r="Q31" s="71" t="n">
        <v>-17009.80204026935</v>
      </c>
      <c r="R31" s="33" t="n">
        <v>1.453629532148053</v>
      </c>
    </row>
    <row r="32" ht="15.75" customHeight="1" s="22">
      <c r="K32" s="32" t="n">
        <v>48228</v>
      </c>
      <c r="L32" s="71" t="n">
        <v>3739.726027397261</v>
      </c>
      <c r="M32" s="33" t="n">
        <v>1.5</v>
      </c>
      <c r="P32" s="32" t="n">
        <v>48228</v>
      </c>
      <c r="Q32" s="71" t="n">
        <v>-17507.8918690381</v>
      </c>
      <c r="R32" s="33" t="n">
        <v>1.512637173007768</v>
      </c>
    </row>
    <row r="33" ht="15.75" customHeight="1" s="22">
      <c r="K33" s="32" t="n">
        <v>48318</v>
      </c>
      <c r="L33" s="71" t="n">
        <v>3698.630136986301</v>
      </c>
      <c r="M33" s="33" t="n">
        <v>1.5</v>
      </c>
      <c r="P33" s="32" t="n">
        <v>48318</v>
      </c>
      <c r="Q33" s="71" t="n">
        <v>-17675.90978909539</v>
      </c>
      <c r="R33" s="33" t="n">
        <v>1.544121864616002</v>
      </c>
    </row>
    <row r="34" ht="15.75" customHeight="1" s="22">
      <c r="K34" s="32" t="n">
        <v>48409</v>
      </c>
      <c r="L34" s="71" t="n">
        <v>3739.726027397261</v>
      </c>
      <c r="M34" s="33" t="n">
        <v>1.5</v>
      </c>
      <c r="P34" s="32" t="n">
        <v>48409</v>
      </c>
      <c r="Q34" s="71" t="n">
        <v>-18237.50939707387</v>
      </c>
      <c r="R34" s="33" t="n">
        <v>1.575674265265385</v>
      </c>
    </row>
    <row r="35" ht="15.75" customHeight="1" s="22">
      <c r="K35" s="32" t="n">
        <v>48501</v>
      </c>
      <c r="L35" s="71" t="n">
        <v>3780.821917808219</v>
      </c>
      <c r="M35" s="33" t="n">
        <v>1.5</v>
      </c>
      <c r="P35" s="32" t="n">
        <v>48501</v>
      </c>
      <c r="Q35" s="71" t="n">
        <v>-18907.7134183389</v>
      </c>
      <c r="R35" s="33" t="n">
        <v>1.615821897587128</v>
      </c>
    </row>
    <row r="36" ht="15.75" customHeight="1" s="22">
      <c r="K36" s="32" t="n">
        <v>48593</v>
      </c>
      <c r="L36" s="71" t="n">
        <v>3780.821917808219</v>
      </c>
      <c r="M36" s="33" t="n">
        <v>1.5</v>
      </c>
      <c r="P36" s="32" t="n">
        <v>48593</v>
      </c>
      <c r="Q36" s="71" t="n">
        <v>-19607.44800642187</v>
      </c>
      <c r="R36" s="33" t="n">
        <v>1.675620057465463</v>
      </c>
    </row>
    <row r="37" ht="15.75" customHeight="1" s="22">
      <c r="K37" s="32" t="n">
        <v>48683</v>
      </c>
      <c r="L37" s="71" t="n">
        <v>3698.630136986301</v>
      </c>
      <c r="M37" s="33" t="n">
        <v>1.5</v>
      </c>
      <c r="P37" s="32" t="n">
        <v>48683</v>
      </c>
      <c r="Q37" s="71" t="n">
        <v>-19571.04295364859</v>
      </c>
      <c r="R37" s="33" t="n">
        <v>1.709675807279299</v>
      </c>
    </row>
    <row r="38" ht="15.75" customHeight="1" s="22">
      <c r="K38" s="32" t="n">
        <v>48774</v>
      </c>
      <c r="L38" s="71" t="n">
        <v>3739.726027397261</v>
      </c>
      <c r="M38" s="33" t="n">
        <v>1.5</v>
      </c>
      <c r="P38" s="32" t="n">
        <v>48774</v>
      </c>
      <c r="Q38" s="71" t="n">
        <v>-20181.9069796024</v>
      </c>
      <c r="R38" s="33" t="n">
        <v>1.743665253811551</v>
      </c>
    </row>
    <row r="39" ht="15.75" customHeight="1" s="22">
      <c r="K39" s="32" t="n">
        <v>48866</v>
      </c>
      <c r="L39" s="71" t="n">
        <v>3780.821917808219</v>
      </c>
      <c r="M39" s="33" t="n">
        <v>1.5</v>
      </c>
      <c r="P39" s="32" t="n">
        <v>48866</v>
      </c>
      <c r="Q39" s="71" t="n">
        <v>-20906.4136407728</v>
      </c>
      <c r="R39" s="33" t="n">
        <v>1.786627510866023</v>
      </c>
    </row>
    <row r="40" ht="15.75" customHeight="1" s="22">
      <c r="K40" s="32" t="n">
        <v>48960</v>
      </c>
      <c r="L40" s="71" t="n">
        <v>3780.821917808219</v>
      </c>
      <c r="M40" s="33" t="n">
        <v>1.5</v>
      </c>
      <c r="P40" s="32" t="n">
        <v>48960</v>
      </c>
      <c r="Q40" s="71" t="n">
        <v>-21627.69641190048</v>
      </c>
      <c r="R40" s="33" t="n">
        <v>1.848267142806394</v>
      </c>
    </row>
    <row r="41" ht="15.75" customHeight="1" s="22">
      <c r="K41" s="32" t="n">
        <v>49048</v>
      </c>
      <c r="L41" s="71" t="n">
        <v>3698.630136986301</v>
      </c>
      <c r="M41" s="33" t="n">
        <v>1.5</v>
      </c>
      <c r="P41" s="32" t="n">
        <v>49048</v>
      </c>
      <c r="Q41" s="71" t="n">
        <v>-21571.64707490235</v>
      </c>
      <c r="R41" s="33" t="n">
        <v>1.88444342054097</v>
      </c>
    </row>
    <row r="42" ht="15.75" customHeight="1" s="22">
      <c r="K42" s="32" t="n">
        <v>49139</v>
      </c>
      <c r="L42" s="71" t="n">
        <v>3739.726027397261</v>
      </c>
      <c r="M42" s="33" t="n">
        <v>1.5</v>
      </c>
      <c r="P42" s="32" t="n">
        <v>49139</v>
      </c>
      <c r="Q42" s="71" t="n">
        <v>-22229.44724649201</v>
      </c>
      <c r="R42" s="33" t="n">
        <v>1.920567507040834</v>
      </c>
    </row>
    <row r="43" ht="15.75" customHeight="1" s="22">
      <c r="K43" s="32" t="n">
        <v>49233</v>
      </c>
      <c r="L43" s="71" t="n">
        <v>3780.821917808219</v>
      </c>
      <c r="M43" s="33" t="n">
        <v>1.5</v>
      </c>
      <c r="P43" s="32" t="n">
        <v>49233</v>
      </c>
      <c r="Q43" s="71" t="n">
        <v>-23023.51187658352</v>
      </c>
      <c r="R43" s="33" t="n">
        <v>1.967551222426412</v>
      </c>
    </row>
    <row r="44" ht="15.75" customHeight="1" s="22">
      <c r="K44" s="32" t="n">
        <v>49325</v>
      </c>
      <c r="L44" s="71" t="n">
        <v>3780.821917808219</v>
      </c>
      <c r="M44" s="33" t="n">
        <v>1.5</v>
      </c>
      <c r="P44" s="32" t="n">
        <v>49325</v>
      </c>
      <c r="Q44" s="71" t="n">
        <v>-23836.7909913465</v>
      </c>
      <c r="R44" s="33" t="n">
        <v>2.037052709645364</v>
      </c>
    </row>
    <row r="45" ht="15.75" customHeight="1" s="22">
      <c r="K45" s="32" t="n">
        <v>49415</v>
      </c>
      <c r="L45" s="71" t="n">
        <v>3698.630136986301</v>
      </c>
      <c r="M45" s="33" t="n">
        <v>1.5</v>
      </c>
      <c r="P45" s="32" t="n">
        <v>49415</v>
      </c>
      <c r="Q45" s="71" t="n">
        <v>-23758.98907599922</v>
      </c>
      <c r="R45" s="33" t="n">
        <v>2.075523973088837</v>
      </c>
    </row>
    <row r="46" ht="15.75" customHeight="1" s="22">
      <c r="K46" s="32" t="n">
        <v>49507</v>
      </c>
      <c r="L46" s="71" t="n">
        <v>3739.726027397261</v>
      </c>
      <c r="M46" s="33" t="n">
        <v>1.5</v>
      </c>
      <c r="P46" s="32" t="n">
        <v>49507</v>
      </c>
      <c r="Q46" s="71" t="n">
        <v>-24467.86921785856</v>
      </c>
      <c r="R46" s="33" t="n">
        <v>2.113961452359528</v>
      </c>
    </row>
    <row r="47" ht="15.75" customHeight="1" s="22">
      <c r="K47" s="32" t="n">
        <v>49598</v>
      </c>
      <c r="L47" s="71" t="n">
        <v>3780.821917808219</v>
      </c>
      <c r="M47" s="33" t="n">
        <v>1.5</v>
      </c>
      <c r="P47" s="32" t="n">
        <v>49598</v>
      </c>
      <c r="Q47" s="71" t="n">
        <v>-25405.99115067051</v>
      </c>
      <c r="R47" s="33" t="n">
        <v>2.171153958328015</v>
      </c>
    </row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4">
    <outlinePr summaryBelow="1" summaryRight="1"/>
    <pageSetUpPr/>
  </sheetPr>
  <dimension ref="A1:Y1119"/>
  <sheetViews>
    <sheetView zoomScale="85" zoomScaleNormal="85" workbookViewId="0">
      <selection activeCell="E7" sqref="E7"/>
    </sheetView>
  </sheetViews>
  <sheetFormatPr baseColWidth="8" defaultRowHeight="15.75"/>
  <cols>
    <col width="14.140625" bestFit="1" customWidth="1" style="22" min="1" max="1"/>
    <col width="11.7109375" bestFit="1" customWidth="1" style="22" min="2" max="2"/>
    <col width="9.7109375" bestFit="1" customWidth="1" style="22" min="3" max="3"/>
    <col width="5.85546875" bestFit="1" customWidth="1" style="22" min="4" max="4"/>
    <col width="19" bestFit="1" customWidth="1" style="22" min="5" max="5"/>
    <col width="14.42578125" bestFit="1" customWidth="1" style="22" min="6" max="6"/>
    <col width="13.42578125" bestFit="1" customWidth="1" style="22" min="7" max="7"/>
    <col width="14.28515625" bestFit="1" customWidth="1" style="22" min="8" max="8"/>
    <col width="14.42578125" bestFit="1" customWidth="1" style="22" min="9" max="10"/>
    <col width="13.42578125" bestFit="1" customWidth="1" style="22" min="11" max="11"/>
    <col width="14.42578125" bestFit="1" customWidth="1" style="22" min="12" max="12"/>
    <col width="9.5703125" bestFit="1" customWidth="1" style="22" min="13" max="13"/>
    <col width="19" bestFit="1" customWidth="1" style="22" min="14" max="15"/>
    <col width="11.42578125" bestFit="1" customWidth="1" style="22" min="16" max="16"/>
    <col width="13.42578125" bestFit="1" customWidth="1" style="22" min="17" max="17"/>
    <col width="14.28515625" bestFit="1" customWidth="1" style="22" min="18" max="18"/>
  </cols>
  <sheetData>
    <row r="1">
      <c r="A1" s="1" t="inlineStr">
        <is>
          <t>Booking_ID</t>
        </is>
      </c>
      <c r="B1" s="1" t="inlineStr">
        <is>
          <t>Type</t>
        </is>
      </c>
      <c r="C1" s="1" t="inlineStr">
        <is>
          <t>Period</t>
        </is>
      </c>
      <c r="D1" s="1" t="inlineStr">
        <is>
          <t>Ccy</t>
        </is>
      </c>
      <c r="E1" s="1" t="inlineStr">
        <is>
          <t>Payment</t>
        </is>
      </c>
      <c r="F1" s="1" t="inlineStr">
        <is>
          <t>Notional</t>
        </is>
      </c>
      <c r="G1" s="1" t="inlineStr">
        <is>
          <t>DF</t>
        </is>
      </c>
      <c r="H1" s="1" t="inlineStr">
        <is>
          <t>Rate</t>
        </is>
      </c>
      <c r="I1" s="1" t="inlineStr">
        <is>
          <t>Cashflow</t>
        </is>
      </c>
      <c r="J1" s="1" t="inlineStr">
        <is>
          <t>NPV</t>
        </is>
      </c>
      <c r="K1" s="1" t="inlineStr">
        <is>
          <t>FX Rate</t>
        </is>
      </c>
      <c r="L1" s="1" t="inlineStr">
        <is>
          <t>NPV Ccy</t>
        </is>
      </c>
      <c r="M1" s="1" t="inlineStr">
        <is>
          <t>Collateral</t>
        </is>
      </c>
      <c r="N1" s="1" t="inlineStr">
        <is>
          <t>Acc Start</t>
        </is>
      </c>
      <c r="O1" s="1" t="inlineStr">
        <is>
          <t>Acc End</t>
        </is>
      </c>
      <c r="P1" s="1" t="inlineStr">
        <is>
          <t>Convention</t>
        </is>
      </c>
      <c r="Q1" s="1" t="inlineStr">
        <is>
          <t>DCF</t>
        </is>
      </c>
      <c r="R1" s="1" t="inlineStr">
        <is>
          <t>Spread</t>
        </is>
      </c>
      <c r="X1" s="19" t="n"/>
      <c r="Y1" s="19" t="n"/>
    </row>
    <row r="2">
      <c r="A2" t="inlineStr">
        <is>
          <t>CCS-001</t>
        </is>
      </c>
      <c r="B2" t="inlineStr">
        <is>
          <t>Cashflow</t>
        </is>
      </c>
      <c r="C2" t="inlineStr">
        <is>
          <t>Exchange</t>
        </is>
      </c>
      <c r="D2" t="inlineStr">
        <is>
          <t>THB</t>
        </is>
      </c>
      <c r="E2" s="72" t="n">
        <v>45912</v>
      </c>
      <c r="F2" t="n">
        <v>1000000</v>
      </c>
      <c r="G2" t="n">
        <v>0.9999256228866206</v>
      </c>
      <c r="H2" t="n">
        <v/>
      </c>
      <c r="I2" t="n">
        <v>-1000000</v>
      </c>
      <c r="J2" t="n">
        <v>-999925.6228866206</v>
      </c>
      <c r="K2" t="n">
        <v>1</v>
      </c>
      <c r="L2" t="n">
        <v>-999925.6228866206</v>
      </c>
      <c r="M2" t="inlineStr">
        <is>
          <t>thb</t>
        </is>
      </c>
      <c r="N2" s="72" t="n"/>
      <c r="O2" s="72" t="n"/>
      <c r="P2" t="n">
        <v/>
      </c>
      <c r="Q2" t="n">
        <v/>
      </c>
      <c r="R2" t="n">
        <v/>
      </c>
      <c r="X2" s="20" t="n"/>
      <c r="Y2" s="20" t="n"/>
    </row>
    <row r="3">
      <c r="A3" t="inlineStr">
        <is>
          <t>CCS-001</t>
        </is>
      </c>
      <c r="B3" t="inlineStr">
        <is>
          <t>FixedPeriod</t>
        </is>
      </c>
      <c r="C3" t="inlineStr">
        <is>
          <t>Stub</t>
        </is>
      </c>
      <c r="D3" t="inlineStr">
        <is>
          <t>THB</t>
        </is>
      </c>
      <c r="E3" s="72" t="n">
        <v>45946</v>
      </c>
      <c r="F3" t="n">
        <v>-1000000</v>
      </c>
      <c r="G3" t="n">
        <v>0.9986643321658927</v>
      </c>
      <c r="H3" t="n">
        <v>1.5</v>
      </c>
      <c r="I3" t="n">
        <v>1315.068493150685</v>
      </c>
      <c r="J3" t="n">
        <v>1313.311998464736</v>
      </c>
      <c r="K3" t="n">
        <v>1</v>
      </c>
      <c r="L3" t="n">
        <v>1313.311998464736</v>
      </c>
      <c r="M3" t="inlineStr">
        <is>
          <t>thb</t>
        </is>
      </c>
      <c r="N3" s="72" t="n">
        <v>45912</v>
      </c>
      <c r="O3" s="72" t="n">
        <v>45944</v>
      </c>
      <c r="P3" t="inlineStr">
        <is>
          <t>Act365f</t>
        </is>
      </c>
      <c r="Q3" t="n">
        <v>0.08767123287671233</v>
      </c>
      <c r="R3" t="n">
        <v/>
      </c>
      <c r="X3" s="20" t="n"/>
      <c r="Y3" s="20" t="n"/>
    </row>
    <row r="4">
      <c r="A4" t="inlineStr">
        <is>
          <t>CCS-001</t>
        </is>
      </c>
      <c r="B4" t="inlineStr">
        <is>
          <t>FixedPeriod</t>
        </is>
      </c>
      <c r="C4" t="inlineStr">
        <is>
          <t>Regular</t>
        </is>
      </c>
      <c r="D4" t="inlineStr">
        <is>
          <t>THB</t>
        </is>
      </c>
      <c r="E4" s="72" t="n">
        <v>46037</v>
      </c>
      <c r="F4" t="n">
        <v>-1000000</v>
      </c>
      <c r="G4" t="n">
        <v>0.995698915404739</v>
      </c>
      <c r="H4" t="n">
        <v>1.5</v>
      </c>
      <c r="I4" t="n">
        <v>3739.726027397261</v>
      </c>
      <c r="J4" t="n">
        <v>3723.641149390326</v>
      </c>
      <c r="K4" t="n">
        <v>1</v>
      </c>
      <c r="L4" t="n">
        <v>3723.641149390326</v>
      </c>
      <c r="M4" t="inlineStr">
        <is>
          <t>thb</t>
        </is>
      </c>
      <c r="N4" s="72" t="n">
        <v>45944</v>
      </c>
      <c r="O4" s="72" t="n">
        <v>46035</v>
      </c>
      <c r="P4" t="inlineStr">
        <is>
          <t>Act365f</t>
        </is>
      </c>
      <c r="Q4" t="n">
        <v>0.2493150684931507</v>
      </c>
      <c r="R4" t="n">
        <v/>
      </c>
      <c r="X4" s="19" t="n"/>
      <c r="Y4" s="19" t="n"/>
    </row>
    <row r="5">
      <c r="A5" t="inlineStr">
        <is>
          <t>CCS-001</t>
        </is>
      </c>
      <c r="B5" t="inlineStr">
        <is>
          <t>FixedPeriod</t>
        </is>
      </c>
      <c r="C5" t="inlineStr">
        <is>
          <t>Regular</t>
        </is>
      </c>
      <c r="D5" t="inlineStr">
        <is>
          <t>THB</t>
        </is>
      </c>
      <c r="E5" s="72" t="n">
        <v>46127</v>
      </c>
      <c r="F5" t="n">
        <v>-1000000</v>
      </c>
      <c r="G5" t="n">
        <v>0.9934791210454537</v>
      </c>
      <c r="H5" t="n">
        <v>1.5</v>
      </c>
      <c r="I5" t="n">
        <v>3698.630136986301</v>
      </c>
      <c r="J5" t="n">
        <v>3674.511817565376</v>
      </c>
      <c r="K5" t="n">
        <v>1</v>
      </c>
      <c r="L5" t="n">
        <v>3674.511817565376</v>
      </c>
      <c r="M5" t="inlineStr">
        <is>
          <t>thb</t>
        </is>
      </c>
      <c r="N5" s="72" t="n">
        <v>46035</v>
      </c>
      <c r="O5" s="72" t="n">
        <v>46125</v>
      </c>
      <c r="P5" t="inlineStr">
        <is>
          <t>Act365f</t>
        </is>
      </c>
      <c r="Q5" t="n">
        <v>0.2465753424657534</v>
      </c>
      <c r="R5" t="n">
        <v/>
      </c>
      <c r="X5" s="19" t="n"/>
      <c r="Y5" s="19" t="n"/>
    </row>
    <row r="6">
      <c r="A6" t="inlineStr">
        <is>
          <t>CCS-001</t>
        </is>
      </c>
      <c r="B6" t="inlineStr">
        <is>
          <t>FixedPeriod</t>
        </is>
      </c>
      <c r="C6" t="inlineStr">
        <is>
          <t>Regular</t>
        </is>
      </c>
      <c r="D6" t="inlineStr">
        <is>
          <t>THB</t>
        </is>
      </c>
      <c r="E6" s="72" t="n">
        <v>46218</v>
      </c>
      <c r="F6" t="n">
        <v>-1000000</v>
      </c>
      <c r="G6" t="n">
        <v>0.9913780531242771</v>
      </c>
      <c r="H6" t="n">
        <v>1.5</v>
      </c>
      <c r="I6" t="n">
        <v>3739.726027397261</v>
      </c>
      <c r="J6" t="n">
        <v>3707.482308259283</v>
      </c>
      <c r="K6" t="n">
        <v>1</v>
      </c>
      <c r="L6" t="n">
        <v>3707.482308259283</v>
      </c>
      <c r="M6" t="inlineStr">
        <is>
          <t>thb</t>
        </is>
      </c>
      <c r="N6" s="72" t="n">
        <v>46125</v>
      </c>
      <c r="O6" s="72" t="n">
        <v>46216</v>
      </c>
      <c r="P6" t="inlineStr">
        <is>
          <t>Act365f</t>
        </is>
      </c>
      <c r="Q6" t="n">
        <v>0.2493150684931507</v>
      </c>
      <c r="R6" t="n">
        <v/>
      </c>
      <c r="X6" s="19" t="n"/>
      <c r="Y6" s="19" t="n"/>
    </row>
    <row r="7">
      <c r="A7" t="inlineStr">
        <is>
          <t>CCS-001</t>
        </is>
      </c>
      <c r="B7" t="inlineStr">
        <is>
          <t>FixedPeriod</t>
        </is>
      </c>
      <c r="C7" t="inlineStr">
        <is>
          <t>Regular</t>
        </is>
      </c>
      <c r="D7" t="inlineStr">
        <is>
          <t>THB</t>
        </is>
      </c>
      <c r="E7" s="72" t="n">
        <v>46310</v>
      </c>
      <c r="F7" t="n">
        <v>-1000000</v>
      </c>
      <c r="G7" t="n">
        <v>0.9891644972820717</v>
      </c>
      <c r="H7" t="n">
        <v>1.5</v>
      </c>
      <c r="I7" t="n">
        <v>3780.821917808219</v>
      </c>
      <c r="J7" t="n">
        <v>3739.854811641806</v>
      </c>
      <c r="K7" t="n">
        <v>1</v>
      </c>
      <c r="L7" t="n">
        <v>3739.854811641806</v>
      </c>
      <c r="M7" t="inlineStr">
        <is>
          <t>thb</t>
        </is>
      </c>
      <c r="N7" s="72" t="n">
        <v>46216</v>
      </c>
      <c r="O7" s="72" t="n">
        <v>46308</v>
      </c>
      <c r="P7" t="inlineStr">
        <is>
          <t>Act365f</t>
        </is>
      </c>
      <c r="Q7" t="n">
        <v>0.252054794520548</v>
      </c>
      <c r="R7" t="n">
        <v/>
      </c>
      <c r="X7" s="19" t="n"/>
      <c r="Y7" s="19" t="n"/>
    </row>
    <row r="8">
      <c r="A8" t="inlineStr">
        <is>
          <t>CCS-001</t>
        </is>
      </c>
      <c r="B8" t="inlineStr">
        <is>
          <t>FixedPeriod</t>
        </is>
      </c>
      <c r="C8" t="inlineStr">
        <is>
          <t>Regular</t>
        </is>
      </c>
      <c r="D8" t="inlineStr">
        <is>
          <t>THB</t>
        </is>
      </c>
      <c r="E8" s="72" t="n">
        <v>46401</v>
      </c>
      <c r="F8" t="n">
        <v>-1000000</v>
      </c>
      <c r="G8" t="n">
        <v>0.9867296479409596</v>
      </c>
      <c r="H8" t="n">
        <v>1.5</v>
      </c>
      <c r="I8" t="n">
        <v>3739.726027397261</v>
      </c>
      <c r="J8" t="n">
        <v>3690.098546409342</v>
      </c>
      <c r="K8" t="n">
        <v>1</v>
      </c>
      <c r="L8" t="n">
        <v>3690.098546409342</v>
      </c>
      <c r="M8" t="inlineStr">
        <is>
          <t>thb</t>
        </is>
      </c>
      <c r="N8" s="72" t="n">
        <v>46308</v>
      </c>
      <c r="O8" s="72" t="n">
        <v>46399</v>
      </c>
      <c r="P8" t="inlineStr">
        <is>
          <t>Act365f</t>
        </is>
      </c>
      <c r="Q8" t="n">
        <v>0.2493150684931507</v>
      </c>
      <c r="R8" t="n">
        <v/>
      </c>
      <c r="X8" s="19" t="n"/>
      <c r="Y8" s="19" t="n"/>
    </row>
    <row r="9">
      <c r="A9" t="inlineStr">
        <is>
          <t>CCS-001</t>
        </is>
      </c>
      <c r="B9" t="inlineStr">
        <is>
          <t>FixedPeriod</t>
        </is>
      </c>
      <c r="C9" t="inlineStr">
        <is>
          <t>Regular</t>
        </is>
      </c>
      <c r="D9" t="inlineStr">
        <is>
          <t>THB</t>
        </is>
      </c>
      <c r="E9" s="72" t="n">
        <v>46491</v>
      </c>
      <c r="F9" t="n">
        <v>-1000000</v>
      </c>
      <c r="G9" t="n">
        <v>0.9843324649752468</v>
      </c>
      <c r="H9" t="n">
        <v>1.5</v>
      </c>
      <c r="I9" t="n">
        <v>3698.630136986301</v>
      </c>
      <c r="J9" t="n">
        <v>3640.68171977146</v>
      </c>
      <c r="K9" t="n">
        <v>1</v>
      </c>
      <c r="L9" t="n">
        <v>3640.68171977146</v>
      </c>
      <c r="M9" t="inlineStr">
        <is>
          <t>thb</t>
        </is>
      </c>
      <c r="N9" s="72" t="n">
        <v>46399</v>
      </c>
      <c r="O9" s="72" t="n">
        <v>46489</v>
      </c>
      <c r="P9" t="inlineStr">
        <is>
          <t>Act365f</t>
        </is>
      </c>
      <c r="Q9" t="n">
        <v>0.2465753424657534</v>
      </c>
      <c r="R9" t="n">
        <v/>
      </c>
      <c r="X9" s="19" t="n"/>
      <c r="Y9" s="19" t="n"/>
    </row>
    <row r="10">
      <c r="A10" t="inlineStr">
        <is>
          <t>CCS-001</t>
        </is>
      </c>
      <c r="B10" t="inlineStr">
        <is>
          <t>FixedPeriod</t>
        </is>
      </c>
      <c r="C10" t="inlineStr">
        <is>
          <t>Regular</t>
        </is>
      </c>
      <c r="D10" t="inlineStr">
        <is>
          <t>THB</t>
        </is>
      </c>
      <c r="E10" s="72" t="n">
        <v>46582</v>
      </c>
      <c r="F10" t="n">
        <v>-1000000</v>
      </c>
      <c r="G10" t="n">
        <v>0.9819196258059535</v>
      </c>
      <c r="H10" t="n">
        <v>1.5</v>
      </c>
      <c r="I10" t="n">
        <v>3739.726027397261</v>
      </c>
      <c r="J10" t="n">
        <v>3672.110381438703</v>
      </c>
      <c r="K10" t="n">
        <v>1</v>
      </c>
      <c r="L10" t="n">
        <v>3672.110381438703</v>
      </c>
      <c r="M10" t="inlineStr">
        <is>
          <t>thb</t>
        </is>
      </c>
      <c r="N10" s="72" t="n">
        <v>46489</v>
      </c>
      <c r="O10" s="72" t="n">
        <v>46580</v>
      </c>
      <c r="P10" t="inlineStr">
        <is>
          <t>Act365f</t>
        </is>
      </c>
      <c r="Q10" t="n">
        <v>0.2493150684931507</v>
      </c>
      <c r="R10" t="n">
        <v/>
      </c>
      <c r="X10" s="19" t="n"/>
      <c r="Y10" s="19" t="n"/>
    </row>
    <row r="11">
      <c r="A11" t="inlineStr">
        <is>
          <t>CCS-001</t>
        </is>
      </c>
      <c r="B11" t="inlineStr">
        <is>
          <t>FixedPeriod</t>
        </is>
      </c>
      <c r="C11" t="inlineStr">
        <is>
          <t>Regular</t>
        </is>
      </c>
      <c r="D11" t="inlineStr">
        <is>
          <t>THB</t>
        </is>
      </c>
      <c r="E11" s="72" t="n">
        <v>46674</v>
      </c>
      <c r="F11" t="n">
        <v>-1000000</v>
      </c>
      <c r="G11" t="n">
        <v>0.9794541904173695</v>
      </c>
      <c r="H11" t="n">
        <v>1.5</v>
      </c>
      <c r="I11" t="n">
        <v>3780.821917808219</v>
      </c>
      <c r="J11" t="n">
        <v>3703.141870619096</v>
      </c>
      <c r="K11" t="n">
        <v>1</v>
      </c>
      <c r="L11" t="n">
        <v>3703.141870619096</v>
      </c>
      <c r="M11" t="inlineStr">
        <is>
          <t>thb</t>
        </is>
      </c>
      <c r="N11" s="72" t="n">
        <v>46580</v>
      </c>
      <c r="O11" s="72" t="n">
        <v>46672</v>
      </c>
      <c r="P11" t="inlineStr">
        <is>
          <t>Act365f</t>
        </is>
      </c>
      <c r="Q11" t="n">
        <v>0.252054794520548</v>
      </c>
      <c r="R11" t="n">
        <v/>
      </c>
      <c r="X11" s="19" t="n"/>
      <c r="Y11" s="19" t="n"/>
    </row>
    <row r="12">
      <c r="A12" t="inlineStr">
        <is>
          <t>CCS-001</t>
        </is>
      </c>
      <c r="B12" t="inlineStr">
        <is>
          <t>FixedPeriod</t>
        </is>
      </c>
      <c r="C12" t="inlineStr">
        <is>
          <t>Regular</t>
        </is>
      </c>
      <c r="D12" t="inlineStr">
        <is>
          <t>THB</t>
        </is>
      </c>
      <c r="E12" s="72" t="n">
        <v>46766</v>
      </c>
      <c r="F12" t="n">
        <v>-1000000</v>
      </c>
      <c r="G12" t="n">
        <v>0.9769092531067343</v>
      </c>
      <c r="H12" t="n">
        <v>1.5</v>
      </c>
      <c r="I12" t="n">
        <v>3780.821917808219</v>
      </c>
      <c r="J12" t="n">
        <v>3693.519915855598</v>
      </c>
      <c r="K12" t="n">
        <v>1</v>
      </c>
      <c r="L12" t="n">
        <v>3693.519915855598</v>
      </c>
      <c r="M12" t="inlineStr">
        <is>
          <t>thb</t>
        </is>
      </c>
      <c r="N12" s="72" t="n">
        <v>46672</v>
      </c>
      <c r="O12" s="72" t="n">
        <v>46764</v>
      </c>
      <c r="P12" t="inlineStr">
        <is>
          <t>Act365f</t>
        </is>
      </c>
      <c r="Q12" t="n">
        <v>0.252054794520548</v>
      </c>
      <c r="R12" t="n">
        <v/>
      </c>
      <c r="X12" s="19" t="n"/>
      <c r="Y12" s="19" t="n"/>
    </row>
    <row r="13">
      <c r="A13" t="inlineStr">
        <is>
          <t>CCS-001</t>
        </is>
      </c>
      <c r="B13" t="inlineStr">
        <is>
          <t>FixedPeriod</t>
        </is>
      </c>
      <c r="C13" t="inlineStr">
        <is>
          <t>Regular</t>
        </is>
      </c>
      <c r="D13" t="inlineStr">
        <is>
          <t>THB</t>
        </is>
      </c>
      <c r="E13" s="72" t="n">
        <v>46857</v>
      </c>
      <c r="F13" t="n">
        <v>-1000000</v>
      </c>
      <c r="G13" t="n">
        <v>0.9743775015789338</v>
      </c>
      <c r="H13" t="n">
        <v>1.5</v>
      </c>
      <c r="I13" t="n">
        <v>3739.726027397261</v>
      </c>
      <c r="J13" t="n">
        <v>3643.904903165054</v>
      </c>
      <c r="K13" t="n">
        <v>1</v>
      </c>
      <c r="L13" t="n">
        <v>3643.904903165054</v>
      </c>
      <c r="M13" t="inlineStr">
        <is>
          <t>thb</t>
        </is>
      </c>
      <c r="N13" s="72" t="n">
        <v>46764</v>
      </c>
      <c r="O13" s="72" t="n">
        <v>46855</v>
      </c>
      <c r="P13" t="inlineStr">
        <is>
          <t>Act365f</t>
        </is>
      </c>
      <c r="Q13" t="n">
        <v>0.2493150684931507</v>
      </c>
      <c r="R13" t="n">
        <v/>
      </c>
      <c r="X13" s="19" t="n"/>
      <c r="Y13" s="19" t="n"/>
    </row>
    <row r="14">
      <c r="A14" t="inlineStr">
        <is>
          <t>CCS-001</t>
        </is>
      </c>
      <c r="B14" t="inlineStr">
        <is>
          <t>FixedPeriod</t>
        </is>
      </c>
      <c r="C14" t="inlineStr">
        <is>
          <t>Regular</t>
        </is>
      </c>
      <c r="D14" t="inlineStr">
        <is>
          <t>THB</t>
        </is>
      </c>
      <c r="E14" s="72" t="n">
        <v>46948</v>
      </c>
      <c r="F14" t="n">
        <v>-1000000</v>
      </c>
      <c r="G14" t="n">
        <v>0.9718314987181724</v>
      </c>
      <c r="H14" t="n">
        <v>1.5</v>
      </c>
      <c r="I14" t="n">
        <v>3739.726027397261</v>
      </c>
      <c r="J14" t="n">
        <v>3634.383550000837</v>
      </c>
      <c r="K14" t="n">
        <v>1</v>
      </c>
      <c r="L14" t="n">
        <v>3634.383550000837</v>
      </c>
      <c r="M14" t="inlineStr">
        <is>
          <t>thb</t>
        </is>
      </c>
      <c r="N14" s="72" t="n">
        <v>46855</v>
      </c>
      <c r="O14" s="72" t="n">
        <v>46946</v>
      </c>
      <c r="P14" t="inlineStr">
        <is>
          <t>Act365f</t>
        </is>
      </c>
      <c r="Q14" t="n">
        <v>0.2493150684931507</v>
      </c>
      <c r="R14" t="n">
        <v/>
      </c>
      <c r="X14" s="19" t="n"/>
      <c r="Y14" s="19" t="n"/>
    </row>
    <row r="15">
      <c r="A15" t="inlineStr">
        <is>
          <t>CCS-001</t>
        </is>
      </c>
      <c r="B15" t="inlineStr">
        <is>
          <t>FixedPeriod</t>
        </is>
      </c>
      <c r="C15" t="inlineStr">
        <is>
          <t>Regular</t>
        </is>
      </c>
      <c r="D15" t="inlineStr">
        <is>
          <t>THB</t>
        </is>
      </c>
      <c r="E15" s="72" t="n">
        <v>47042</v>
      </c>
      <c r="F15" t="n">
        <v>-1000000</v>
      </c>
      <c r="G15" t="n">
        <v>0.9691895058707687</v>
      </c>
      <c r="H15" t="n">
        <v>1.5</v>
      </c>
      <c r="I15" t="n">
        <v>3780.821917808219</v>
      </c>
      <c r="J15" t="n">
        <v>3664.33292630592</v>
      </c>
      <c r="K15" t="n">
        <v>1</v>
      </c>
      <c r="L15" t="n">
        <v>3664.33292630592</v>
      </c>
      <c r="M15" t="inlineStr">
        <is>
          <t>thb</t>
        </is>
      </c>
      <c r="N15" s="72" t="n">
        <v>46946</v>
      </c>
      <c r="O15" s="72" t="n">
        <v>47038</v>
      </c>
      <c r="P15" t="inlineStr">
        <is>
          <t>Act365f</t>
        </is>
      </c>
      <c r="Q15" t="n">
        <v>0.252054794520548</v>
      </c>
      <c r="R15" t="n">
        <v/>
      </c>
      <c r="X15" s="19" t="n"/>
      <c r="Y15" s="19" t="n"/>
    </row>
    <row r="16">
      <c r="A16" t="inlineStr">
        <is>
          <t>CCS-001</t>
        </is>
      </c>
      <c r="B16" t="inlineStr">
        <is>
          <t>FixedPeriod</t>
        </is>
      </c>
      <c r="C16" t="inlineStr">
        <is>
          <t>Regular</t>
        </is>
      </c>
      <c r="D16" t="inlineStr">
        <is>
          <t>THB</t>
        </is>
      </c>
      <c r="E16" s="72" t="n">
        <v>47134</v>
      </c>
      <c r="F16" t="n">
        <v>-1000000</v>
      </c>
      <c r="G16" t="n">
        <v>0.9665948616059181</v>
      </c>
      <c r="H16" t="n">
        <v>1.5</v>
      </c>
      <c r="I16" t="n">
        <v>3780.821917808219</v>
      </c>
      <c r="J16" t="n">
        <v>3654.523038400458</v>
      </c>
      <c r="K16" t="n">
        <v>1</v>
      </c>
      <c r="L16" t="n">
        <v>3654.523038400458</v>
      </c>
      <c r="M16" t="inlineStr">
        <is>
          <t>thb</t>
        </is>
      </c>
      <c r="N16" s="72" t="n">
        <v>47038</v>
      </c>
      <c r="O16" s="72" t="n">
        <v>47130</v>
      </c>
      <c r="P16" t="inlineStr">
        <is>
          <t>Act365f</t>
        </is>
      </c>
      <c r="Q16" t="n">
        <v>0.252054794520548</v>
      </c>
      <c r="R16" t="n">
        <v/>
      </c>
      <c r="X16" s="19" t="n"/>
      <c r="Y16" s="19" t="n"/>
    </row>
    <row r="17">
      <c r="A17" t="inlineStr">
        <is>
          <t>CCS-001</t>
        </is>
      </c>
      <c r="B17" t="inlineStr">
        <is>
          <t>FixedPeriod</t>
        </is>
      </c>
      <c r="C17" t="inlineStr">
        <is>
          <t>Regular</t>
        </is>
      </c>
      <c r="D17" t="inlineStr">
        <is>
          <t>THB</t>
        </is>
      </c>
      <c r="E17" s="72" t="n">
        <v>47224</v>
      </c>
      <c r="F17" t="n">
        <v>-1000000</v>
      </c>
      <c r="G17" t="n">
        <v>0.9640440905437129</v>
      </c>
      <c r="H17" t="n">
        <v>1.5</v>
      </c>
      <c r="I17" t="n">
        <v>3698.630136986301</v>
      </c>
      <c r="J17" t="n">
        <v>3565.642526668526</v>
      </c>
      <c r="K17" t="n">
        <v>1</v>
      </c>
      <c r="L17" t="n">
        <v>3565.642526668526</v>
      </c>
      <c r="M17" t="inlineStr">
        <is>
          <t>thb</t>
        </is>
      </c>
      <c r="N17" s="72" t="n">
        <v>47130</v>
      </c>
      <c r="O17" s="72" t="n">
        <v>47220</v>
      </c>
      <c r="P17" t="inlineStr">
        <is>
          <t>Act365f</t>
        </is>
      </c>
      <c r="Q17" t="n">
        <v>0.2465753424657534</v>
      </c>
      <c r="R17" t="n">
        <v/>
      </c>
      <c r="X17" s="19" t="n"/>
      <c r="Y17" s="19" t="n"/>
    </row>
    <row r="18">
      <c r="A18" t="inlineStr">
        <is>
          <t>CCS-001</t>
        </is>
      </c>
      <c r="B18" t="inlineStr">
        <is>
          <t>FixedPeriod</t>
        </is>
      </c>
      <c r="C18" t="inlineStr">
        <is>
          <t>Regular</t>
        </is>
      </c>
      <c r="D18" t="inlineStr">
        <is>
          <t>THB</t>
        </is>
      </c>
      <c r="E18" s="72" t="n">
        <v>47316</v>
      </c>
      <c r="F18" t="n">
        <v>-1000000</v>
      </c>
      <c r="G18" t="n">
        <v>0.9614239649375126</v>
      </c>
      <c r="H18" t="n">
        <v>1.5</v>
      </c>
      <c r="I18" t="n">
        <v>3739.726027397261</v>
      </c>
      <c r="J18" t="n">
        <v>3595.462225040287</v>
      </c>
      <c r="K18" t="n">
        <v>1</v>
      </c>
      <c r="L18" t="n">
        <v>3595.462225040287</v>
      </c>
      <c r="M18" t="inlineStr">
        <is>
          <t>thb</t>
        </is>
      </c>
      <c r="N18" s="72" t="n">
        <v>47220</v>
      </c>
      <c r="O18" s="72" t="n">
        <v>47311</v>
      </c>
      <c r="P18" t="inlineStr">
        <is>
          <t>Act365f</t>
        </is>
      </c>
      <c r="Q18" t="n">
        <v>0.2493150684931507</v>
      </c>
      <c r="R18" t="n">
        <v/>
      </c>
      <c r="X18" s="19" t="n"/>
      <c r="Y18" s="19" t="n"/>
    </row>
    <row r="19" ht="16.5" customHeight="1" s="22">
      <c r="A19" t="inlineStr">
        <is>
          <t>CCS-001</t>
        </is>
      </c>
      <c r="B19" t="inlineStr">
        <is>
          <t>FixedPeriod</t>
        </is>
      </c>
      <c r="C19" t="inlineStr">
        <is>
          <t>Regular</t>
        </is>
      </c>
      <c r="D19" t="inlineStr">
        <is>
          <t>THB</t>
        </is>
      </c>
      <c r="E19" s="72" t="n">
        <v>47407</v>
      </c>
      <c r="F19" t="n">
        <v>-1000000</v>
      </c>
      <c r="G19" t="n">
        <v>0.9587818032797976</v>
      </c>
      <c r="H19" t="n">
        <v>1.5</v>
      </c>
      <c r="I19" t="n">
        <v>3780.821917808219</v>
      </c>
      <c r="J19" t="n">
        <v>3624.983256235947</v>
      </c>
      <c r="K19" t="n">
        <v>1</v>
      </c>
      <c r="L19" t="n">
        <v>3624.983256235947</v>
      </c>
      <c r="M19" t="inlineStr">
        <is>
          <t>thb</t>
        </is>
      </c>
      <c r="N19" s="72" t="n">
        <v>47311</v>
      </c>
      <c r="O19" s="72" t="n">
        <v>47403</v>
      </c>
      <c r="P19" t="inlineStr">
        <is>
          <t>Act365f</t>
        </is>
      </c>
      <c r="Q19" t="n">
        <v>0.252054794520548</v>
      </c>
      <c r="R19" t="n">
        <v/>
      </c>
      <c r="X19" s="19" t="n"/>
      <c r="Y19" s="19" t="n"/>
    </row>
    <row r="20">
      <c r="A20" t="inlineStr">
        <is>
          <t>CCS-001</t>
        </is>
      </c>
      <c r="B20" t="inlineStr">
        <is>
          <t>FixedPeriod</t>
        </is>
      </c>
      <c r="C20" t="inlineStr">
        <is>
          <t>Regular</t>
        </is>
      </c>
      <c r="D20" t="inlineStr">
        <is>
          <t>THB</t>
        </is>
      </c>
      <c r="E20" s="72" t="n">
        <v>47500</v>
      </c>
      <c r="F20" t="n">
        <v>-1000000</v>
      </c>
      <c r="G20" t="n">
        <v>0.9559953137212169</v>
      </c>
      <c r="H20" t="n">
        <v>1.5</v>
      </c>
      <c r="I20" t="n">
        <v>3904.109589041096</v>
      </c>
      <c r="J20" t="n">
        <v>3732.310471377354</v>
      </c>
      <c r="K20" t="n">
        <v>1</v>
      </c>
      <c r="L20" t="n">
        <v>3732.310471377354</v>
      </c>
      <c r="M20" t="inlineStr">
        <is>
          <t>thb</t>
        </is>
      </c>
      <c r="N20" s="72" t="n">
        <v>47403</v>
      </c>
      <c r="O20" s="72" t="n">
        <v>47498</v>
      </c>
      <c r="P20" t="inlineStr">
        <is>
          <t>Act365f</t>
        </is>
      </c>
      <c r="Q20" t="n">
        <v>0.2602739726027397</v>
      </c>
      <c r="R20" t="n">
        <v/>
      </c>
      <c r="X20" s="19" t="n"/>
      <c r="Y20" s="19" t="n"/>
    </row>
    <row r="21">
      <c r="A21" t="inlineStr">
        <is>
          <t>CCS-001</t>
        </is>
      </c>
      <c r="B21" t="inlineStr">
        <is>
          <t>FixedPeriod</t>
        </is>
      </c>
      <c r="C21" t="inlineStr">
        <is>
          <t>Regular</t>
        </is>
      </c>
      <c r="D21" t="inlineStr">
        <is>
          <t>THB</t>
        </is>
      </c>
      <c r="E21" s="72" t="n">
        <v>47589</v>
      </c>
      <c r="F21" t="n">
        <v>-1000000</v>
      </c>
      <c r="G21" t="n">
        <v>0.9533053882975433</v>
      </c>
      <c r="H21" t="n">
        <v>1.5</v>
      </c>
      <c r="I21" t="n">
        <v>3575.342465753425</v>
      </c>
      <c r="J21" t="n">
        <v>3408.393237611765</v>
      </c>
      <c r="K21" t="n">
        <v>1</v>
      </c>
      <c r="L21" t="n">
        <v>3408.393237611765</v>
      </c>
      <c r="M21" t="inlineStr">
        <is>
          <t>thb</t>
        </is>
      </c>
      <c r="N21" s="72" t="n">
        <v>47498</v>
      </c>
      <c r="O21" s="72" t="n">
        <v>47585</v>
      </c>
      <c r="P21" t="inlineStr">
        <is>
          <t>Act365f</t>
        </is>
      </c>
      <c r="Q21" t="n">
        <v>0.2383561643835616</v>
      </c>
      <c r="R21" t="n">
        <v/>
      </c>
      <c r="X21" s="19" t="n"/>
      <c r="Y21" s="19" t="n"/>
    </row>
    <row r="22">
      <c r="A22" t="inlineStr">
        <is>
          <t>CCS-001</t>
        </is>
      </c>
      <c r="B22" t="inlineStr">
        <is>
          <t>FixedPeriod</t>
        </is>
      </c>
      <c r="C22" t="inlineStr">
        <is>
          <t>Regular</t>
        </is>
      </c>
      <c r="D22" t="inlineStr">
        <is>
          <t>THB</t>
        </is>
      </c>
      <c r="E22" s="72" t="n">
        <v>47681</v>
      </c>
      <c r="F22" t="n">
        <v>-1000000</v>
      </c>
      <c r="G22" t="n">
        <v>0.9505011063400991</v>
      </c>
      <c r="H22" t="n">
        <v>1.5</v>
      </c>
      <c r="I22" t="n">
        <v>3739.726027397261</v>
      </c>
      <c r="J22" t="n">
        <v>3554.61372644996</v>
      </c>
      <c r="K22" t="n">
        <v>1</v>
      </c>
      <c r="L22" t="n">
        <v>3554.61372644996</v>
      </c>
      <c r="M22" t="inlineStr">
        <is>
          <t>thb</t>
        </is>
      </c>
      <c r="N22" s="72" t="n">
        <v>47585</v>
      </c>
      <c r="O22" s="72" t="n">
        <v>47676</v>
      </c>
      <c r="P22" t="inlineStr">
        <is>
          <t>Act365f</t>
        </is>
      </c>
      <c r="Q22" t="n">
        <v>0.2493150684931507</v>
      </c>
      <c r="R22" t="n">
        <v/>
      </c>
      <c r="X22" s="19" t="n"/>
      <c r="Y22" s="19" t="n"/>
    </row>
    <row r="23">
      <c r="A23" t="inlineStr">
        <is>
          <t>CCS-001</t>
        </is>
      </c>
      <c r="B23" t="inlineStr">
        <is>
          <t>FixedPeriod</t>
        </is>
      </c>
      <c r="C23" t="inlineStr">
        <is>
          <t>Regular</t>
        </is>
      </c>
      <c r="D23" t="inlineStr">
        <is>
          <t>THB</t>
        </is>
      </c>
      <c r="E23" s="72" t="n">
        <v>47773</v>
      </c>
      <c r="F23" t="n">
        <v>-1000000</v>
      </c>
      <c r="G23" t="n">
        <v>0.9477309071899942</v>
      </c>
      <c r="H23" t="n">
        <v>1.5</v>
      </c>
      <c r="I23" t="n">
        <v>3904.109589041096</v>
      </c>
      <c r="J23" t="n">
        <v>3700.045322591073</v>
      </c>
      <c r="K23" t="n">
        <v>1</v>
      </c>
      <c r="L23" t="n">
        <v>3700.045322591073</v>
      </c>
      <c r="M23" t="inlineStr">
        <is>
          <t>thb</t>
        </is>
      </c>
      <c r="N23" s="72" t="n">
        <v>47676</v>
      </c>
      <c r="O23" s="72" t="n">
        <v>47771</v>
      </c>
      <c r="P23" t="inlineStr">
        <is>
          <t>Act365f</t>
        </is>
      </c>
      <c r="Q23" t="n">
        <v>0.2602739726027397</v>
      </c>
      <c r="R23" t="n">
        <v/>
      </c>
      <c r="X23" s="19" t="n"/>
      <c r="Y23" s="19" t="n"/>
    </row>
    <row r="24">
      <c r="A24" t="inlineStr">
        <is>
          <t>CCS-001</t>
        </is>
      </c>
      <c r="B24" t="inlineStr">
        <is>
          <t>FixedPeriod</t>
        </is>
      </c>
      <c r="C24" t="inlineStr">
        <is>
          <t>Regular</t>
        </is>
      </c>
      <c r="D24" t="inlineStr">
        <is>
          <t>THB</t>
        </is>
      </c>
      <c r="E24" s="72" t="n">
        <v>47864</v>
      </c>
      <c r="F24" t="n">
        <v>-1000000</v>
      </c>
      <c r="G24" t="n">
        <v>0.9450704661902685</v>
      </c>
      <c r="H24" t="n">
        <v>1.5</v>
      </c>
      <c r="I24" t="n">
        <v>3739.726027397261</v>
      </c>
      <c r="J24" t="n">
        <v>3534.30462013621</v>
      </c>
      <c r="K24" t="n">
        <v>1</v>
      </c>
      <c r="L24" t="n">
        <v>3534.30462013621</v>
      </c>
      <c r="M24" t="inlineStr">
        <is>
          <t>thb</t>
        </is>
      </c>
      <c r="N24" s="72" t="n">
        <v>47771</v>
      </c>
      <c r="O24" s="72" t="n">
        <v>47862</v>
      </c>
      <c r="P24" t="inlineStr">
        <is>
          <t>Act365f</t>
        </is>
      </c>
      <c r="Q24" t="n">
        <v>0.2493150684931507</v>
      </c>
      <c r="R24" t="n">
        <v/>
      </c>
      <c r="X24" s="19" t="n"/>
      <c r="Y24" s="19" t="n"/>
    </row>
    <row r="25">
      <c r="A25" t="inlineStr">
        <is>
          <t>CCS-001</t>
        </is>
      </c>
      <c r="B25" t="inlineStr">
        <is>
          <t>FixedPeriod</t>
        </is>
      </c>
      <c r="C25" t="inlineStr">
        <is>
          <t>Regular</t>
        </is>
      </c>
      <c r="D25" t="inlineStr">
        <is>
          <t>THB</t>
        </is>
      </c>
      <c r="E25" s="72" t="n">
        <v>47954</v>
      </c>
      <c r="F25" t="n">
        <v>-1000000</v>
      </c>
      <c r="G25" t="n">
        <v>0.9424303024019304</v>
      </c>
      <c r="H25" t="n">
        <v>1.5</v>
      </c>
      <c r="I25" t="n">
        <v>3698.630136986301</v>
      </c>
      <c r="J25" t="n">
        <v>3485.701118472893</v>
      </c>
      <c r="K25" t="n">
        <v>1</v>
      </c>
      <c r="L25" t="n">
        <v>3485.701118472893</v>
      </c>
      <c r="M25" t="inlineStr">
        <is>
          <t>thb</t>
        </is>
      </c>
      <c r="N25" s="72" t="n">
        <v>47862</v>
      </c>
      <c r="O25" s="72" t="n">
        <v>47952</v>
      </c>
      <c r="P25" t="inlineStr">
        <is>
          <t>Act365f</t>
        </is>
      </c>
      <c r="Q25" t="n">
        <v>0.2465753424657534</v>
      </c>
      <c r="R25" t="n">
        <v/>
      </c>
      <c r="X25" s="19" t="n"/>
      <c r="Y25" s="19" t="n"/>
    </row>
    <row r="26">
      <c r="A26" t="inlineStr">
        <is>
          <t>CCS-001</t>
        </is>
      </c>
      <c r="B26" t="inlineStr">
        <is>
          <t>FixedPeriod</t>
        </is>
      </c>
      <c r="C26" t="inlineStr">
        <is>
          <t>Regular</t>
        </is>
      </c>
      <c r="D26" t="inlineStr">
        <is>
          <t>THB</t>
        </is>
      </c>
      <c r="E26" s="72" t="n">
        <v>48045</v>
      </c>
      <c r="F26" t="n">
        <v>-1000000</v>
      </c>
      <c r="G26" t="n">
        <v>0.9397518639269696</v>
      </c>
      <c r="H26" t="n">
        <v>1.5</v>
      </c>
      <c r="I26" t="n">
        <v>3739.726027397261</v>
      </c>
      <c r="J26" t="n">
        <v>3514.414504822777</v>
      </c>
      <c r="K26" t="n">
        <v>1</v>
      </c>
      <c r="L26" t="n">
        <v>3514.414504822777</v>
      </c>
      <c r="M26" t="inlineStr">
        <is>
          <t>thb</t>
        </is>
      </c>
      <c r="N26" s="72" t="n">
        <v>47952</v>
      </c>
      <c r="O26" s="72" t="n">
        <v>48043</v>
      </c>
      <c r="P26" t="inlineStr">
        <is>
          <t>Act365f</t>
        </is>
      </c>
      <c r="Q26" t="n">
        <v>0.2493150684931507</v>
      </c>
      <c r="R26" t="n">
        <v/>
      </c>
      <c r="X26" s="19" t="n"/>
      <c r="Y26" s="19" t="n"/>
    </row>
    <row r="27">
      <c r="A27" t="inlineStr">
        <is>
          <t>CCS-001</t>
        </is>
      </c>
      <c r="B27" t="inlineStr">
        <is>
          <t>FixedPeriod</t>
        </is>
      </c>
      <c r="C27" t="inlineStr">
        <is>
          <t>Regular</t>
        </is>
      </c>
      <c r="D27" t="inlineStr">
        <is>
          <t>THB</t>
        </is>
      </c>
      <c r="E27" s="72" t="n">
        <v>48137</v>
      </c>
      <c r="F27" t="n">
        <v>-1000000</v>
      </c>
      <c r="G27" t="n">
        <v>0.9370349760418407</v>
      </c>
      <c r="H27" t="n">
        <v>1.5</v>
      </c>
      <c r="I27" t="n">
        <v>3780.821917808219</v>
      </c>
      <c r="J27" t="n">
        <v>3542.762375171891</v>
      </c>
      <c r="K27" t="n">
        <v>1</v>
      </c>
      <c r="L27" t="n">
        <v>3542.762375171891</v>
      </c>
      <c r="M27" t="inlineStr">
        <is>
          <t>thb</t>
        </is>
      </c>
      <c r="N27" s="72" t="n">
        <v>48043</v>
      </c>
      <c r="O27" s="72" t="n">
        <v>48135</v>
      </c>
      <c r="P27" t="inlineStr">
        <is>
          <t>Act365f</t>
        </is>
      </c>
      <c r="Q27" t="n">
        <v>0.252054794520548</v>
      </c>
      <c r="R27" t="n">
        <v/>
      </c>
      <c r="X27" s="19" t="n"/>
      <c r="Y27" s="19" t="n"/>
    </row>
    <row r="28">
      <c r="A28" t="inlineStr">
        <is>
          <t>CCS-001</t>
        </is>
      </c>
      <c r="B28" t="inlineStr">
        <is>
          <t>FixedPeriod</t>
        </is>
      </c>
      <c r="C28" t="inlineStr">
        <is>
          <t>Regular</t>
        </is>
      </c>
      <c r="D28" t="inlineStr">
        <is>
          <t>THB</t>
        </is>
      </c>
      <c r="E28" s="72" t="n">
        <v>48228</v>
      </c>
      <c r="F28" t="n">
        <v>-1000000</v>
      </c>
      <c r="G28" t="n">
        <v>0.9343388223873651</v>
      </c>
      <c r="H28" t="n">
        <v>1.5</v>
      </c>
      <c r="I28" t="n">
        <v>3739.726027397261</v>
      </c>
      <c r="J28" t="n">
        <v>3494.171212489735</v>
      </c>
      <c r="K28" t="n">
        <v>1</v>
      </c>
      <c r="L28" t="n">
        <v>3494.171212489735</v>
      </c>
      <c r="M28" t="inlineStr">
        <is>
          <t>thb</t>
        </is>
      </c>
      <c r="N28" s="72" t="n">
        <v>48135</v>
      </c>
      <c r="O28" s="72" t="n">
        <v>48226</v>
      </c>
      <c r="P28" t="inlineStr">
        <is>
          <t>Act365f</t>
        </is>
      </c>
      <c r="Q28" t="n">
        <v>0.2493150684931507</v>
      </c>
      <c r="R28" t="n">
        <v/>
      </c>
      <c r="X28" s="19" t="n"/>
      <c r="Y28" s="19" t="n"/>
    </row>
    <row r="29">
      <c r="A29" t="inlineStr">
        <is>
          <t>CCS-001</t>
        </is>
      </c>
      <c r="B29" t="inlineStr">
        <is>
          <t>FixedPeriod</t>
        </is>
      </c>
      <c r="C29" t="inlineStr">
        <is>
          <t>Regular</t>
        </is>
      </c>
      <c r="D29" t="inlineStr">
        <is>
          <t>THB</t>
        </is>
      </c>
      <c r="E29" s="72" t="n">
        <v>48318</v>
      </c>
      <c r="F29" t="n">
        <v>-1000000</v>
      </c>
      <c r="G29" t="n">
        <v>0.9316638093052729</v>
      </c>
      <c r="H29" t="n">
        <v>1.5</v>
      </c>
      <c r="I29" t="n">
        <v>3698.630136986301</v>
      </c>
      <c r="J29" t="n">
        <v>3445.87984263594</v>
      </c>
      <c r="K29" t="n">
        <v>1</v>
      </c>
      <c r="L29" t="n">
        <v>3445.87984263594</v>
      </c>
      <c r="M29" t="inlineStr">
        <is>
          <t>thb</t>
        </is>
      </c>
      <c r="N29" s="72" t="n">
        <v>48226</v>
      </c>
      <c r="O29" s="72" t="n">
        <v>48316</v>
      </c>
      <c r="P29" t="inlineStr">
        <is>
          <t>Act365f</t>
        </is>
      </c>
      <c r="Q29" t="n">
        <v>0.2465753424657534</v>
      </c>
      <c r="R29" t="n">
        <v/>
      </c>
      <c r="X29" s="19" t="n"/>
      <c r="Y29" s="19" t="n"/>
    </row>
    <row r="30">
      <c r="A30" t="inlineStr">
        <is>
          <t>CCS-001</t>
        </is>
      </c>
      <c r="B30" t="inlineStr">
        <is>
          <t>FixedPeriod</t>
        </is>
      </c>
      <c r="C30" t="inlineStr">
        <is>
          <t>Regular</t>
        </is>
      </c>
      <c r="D30" t="inlineStr">
        <is>
          <t>THB</t>
        </is>
      </c>
      <c r="E30" s="72" t="n">
        <v>48409</v>
      </c>
      <c r="F30" t="n">
        <v>-1000000</v>
      </c>
      <c r="G30" t="n">
        <v>0.9289506109518191</v>
      </c>
      <c r="H30" t="n">
        <v>1.5</v>
      </c>
      <c r="I30" t="n">
        <v>3739.726027397261</v>
      </c>
      <c r="J30" t="n">
        <v>3474.020777943104</v>
      </c>
      <c r="K30" t="n">
        <v>1</v>
      </c>
      <c r="L30" t="n">
        <v>3474.020777943104</v>
      </c>
      <c r="M30" t="inlineStr">
        <is>
          <t>thb</t>
        </is>
      </c>
      <c r="N30" s="72" t="n">
        <v>48316</v>
      </c>
      <c r="O30" s="72" t="n">
        <v>48407</v>
      </c>
      <c r="P30" t="inlineStr">
        <is>
          <t>Act365f</t>
        </is>
      </c>
      <c r="Q30" t="n">
        <v>0.2493150684931507</v>
      </c>
      <c r="R30" t="n">
        <v/>
      </c>
      <c r="X30" s="19" t="n"/>
      <c r="Y30" s="19" t="n"/>
    </row>
    <row r="31">
      <c r="A31" t="inlineStr">
        <is>
          <t>CCS-001</t>
        </is>
      </c>
      <c r="B31" t="inlineStr">
        <is>
          <t>FixedPeriod</t>
        </is>
      </c>
      <c r="C31" t="inlineStr">
        <is>
          <t>Regular</t>
        </is>
      </c>
      <c r="D31" t="inlineStr">
        <is>
          <t>THB</t>
        </is>
      </c>
      <c r="E31" s="72" t="n">
        <v>48501</v>
      </c>
      <c r="F31" t="n">
        <v>-1000000</v>
      </c>
      <c r="G31" t="n">
        <v>0.9260090753223215</v>
      </c>
      <c r="H31" t="n">
        <v>1.5</v>
      </c>
      <c r="I31" t="n">
        <v>3780.821917808219</v>
      </c>
      <c r="J31" t="n">
        <v>3501.075408067955</v>
      </c>
      <c r="K31" t="n">
        <v>1</v>
      </c>
      <c r="L31" t="n">
        <v>3501.075408067955</v>
      </c>
      <c r="M31" t="inlineStr">
        <is>
          <t>thb</t>
        </is>
      </c>
      <c r="N31" s="72" t="n">
        <v>48407</v>
      </c>
      <c r="O31" s="72" t="n">
        <v>48499</v>
      </c>
      <c r="P31" t="inlineStr">
        <is>
          <t>Act365f</t>
        </is>
      </c>
      <c r="Q31" t="n">
        <v>0.252054794520548</v>
      </c>
      <c r="R31" t="n">
        <v/>
      </c>
      <c r="X31" s="19" t="n"/>
      <c r="Y31" s="19" t="n"/>
    </row>
    <row r="32">
      <c r="A32" t="inlineStr">
        <is>
          <t>CCS-001</t>
        </is>
      </c>
      <c r="B32" t="inlineStr">
        <is>
          <t>FixedPeriod</t>
        </is>
      </c>
      <c r="C32" t="inlineStr">
        <is>
          <t>Regular</t>
        </is>
      </c>
      <c r="D32" t="inlineStr">
        <is>
          <t>THB</t>
        </is>
      </c>
      <c r="E32" s="72" t="n">
        <v>48593</v>
      </c>
      <c r="F32" t="n">
        <v>-1000000</v>
      </c>
      <c r="G32" t="n">
        <v>0.9226610372862449</v>
      </c>
      <c r="H32" t="n">
        <v>1.5</v>
      </c>
      <c r="I32" t="n">
        <v>3780.821917808219</v>
      </c>
      <c r="J32" t="n">
        <v>3488.417072479502</v>
      </c>
      <c r="K32" t="n">
        <v>1</v>
      </c>
      <c r="L32" t="n">
        <v>3488.417072479502</v>
      </c>
      <c r="M32" t="inlineStr">
        <is>
          <t>thb</t>
        </is>
      </c>
      <c r="N32" s="72" t="n">
        <v>48499</v>
      </c>
      <c r="O32" s="72" t="n">
        <v>48591</v>
      </c>
      <c r="P32" t="inlineStr">
        <is>
          <t>Act365f</t>
        </is>
      </c>
      <c r="Q32" t="n">
        <v>0.252054794520548</v>
      </c>
      <c r="R32" t="n">
        <v/>
      </c>
      <c r="X32" s="19" t="n"/>
      <c r="Y32" s="19" t="n"/>
    </row>
    <row r="33">
      <c r="A33" t="inlineStr">
        <is>
          <t>CCS-001</t>
        </is>
      </c>
      <c r="B33" t="inlineStr">
        <is>
          <t>FixedPeriod</t>
        </is>
      </c>
      <c r="C33" t="inlineStr">
        <is>
          <t>Regular</t>
        </is>
      </c>
      <c r="D33" t="inlineStr">
        <is>
          <t>THB</t>
        </is>
      </c>
      <c r="E33" s="72" t="n">
        <v>48683</v>
      </c>
      <c r="F33" t="n">
        <v>-1000000</v>
      </c>
      <c r="G33" t="n">
        <v>0.9193430392291496</v>
      </c>
      <c r="H33" t="n">
        <v>1.5</v>
      </c>
      <c r="I33" t="n">
        <v>3698.630136986301</v>
      </c>
      <c r="J33" t="n">
        <v>3400.309871121512</v>
      </c>
      <c r="K33" t="n">
        <v>1</v>
      </c>
      <c r="L33" t="n">
        <v>3400.309871121512</v>
      </c>
      <c r="M33" t="inlineStr">
        <is>
          <t>thb</t>
        </is>
      </c>
      <c r="N33" s="72" t="n">
        <v>48591</v>
      </c>
      <c r="O33" s="72" t="n">
        <v>48681</v>
      </c>
      <c r="P33" t="inlineStr">
        <is>
          <t>Act365f</t>
        </is>
      </c>
      <c r="Q33" t="n">
        <v>0.2465753424657534</v>
      </c>
      <c r="R33" t="n">
        <v/>
      </c>
      <c r="X33" s="19" t="n"/>
      <c r="Y33" s="19" t="n"/>
    </row>
    <row r="34">
      <c r="A34" t="inlineStr">
        <is>
          <t>CCS-001</t>
        </is>
      </c>
      <c r="B34" t="inlineStr">
        <is>
          <t>FixedPeriod</t>
        </is>
      </c>
      <c r="C34" t="inlineStr">
        <is>
          <t>Regular</t>
        </is>
      </c>
      <c r="D34" t="inlineStr">
        <is>
          <t>THB</t>
        </is>
      </c>
      <c r="E34" s="72" t="n">
        <v>48774</v>
      </c>
      <c r="F34" t="n">
        <v>-1000000</v>
      </c>
      <c r="G34" t="n">
        <v>0.9159457487720792</v>
      </c>
      <c r="H34" t="n">
        <v>1.5</v>
      </c>
      <c r="I34" t="n">
        <v>3739.726027397261</v>
      </c>
      <c r="J34" t="n">
        <v>3425.386156366817</v>
      </c>
      <c r="K34" t="n">
        <v>1</v>
      </c>
      <c r="L34" t="n">
        <v>3425.386156366817</v>
      </c>
      <c r="M34" t="inlineStr">
        <is>
          <t>thb</t>
        </is>
      </c>
      <c r="N34" s="72" t="n">
        <v>48681</v>
      </c>
      <c r="O34" s="72" t="n">
        <v>48772</v>
      </c>
      <c r="P34" t="inlineStr">
        <is>
          <t>Act365f</t>
        </is>
      </c>
      <c r="Q34" t="n">
        <v>0.2493150684931507</v>
      </c>
      <c r="R34" t="n">
        <v/>
      </c>
      <c r="X34" s="21" t="n"/>
      <c r="Y34" s="21" t="n"/>
    </row>
    <row r="35">
      <c r="A35" t="inlineStr">
        <is>
          <t>CCS-001</t>
        </is>
      </c>
      <c r="B35" t="inlineStr">
        <is>
          <t>FixedPeriod</t>
        </is>
      </c>
      <c r="C35" t="inlineStr">
        <is>
          <t>Regular</t>
        </is>
      </c>
      <c r="D35" t="inlineStr">
        <is>
          <t>THB</t>
        </is>
      </c>
      <c r="E35" s="72" t="n">
        <v>48866</v>
      </c>
      <c r="F35" t="n">
        <v>-1000000</v>
      </c>
      <c r="G35" t="n">
        <v>0.9124683327167922</v>
      </c>
      <c r="H35" t="n">
        <v>1.5</v>
      </c>
      <c r="I35" t="n">
        <v>3780.821917808219</v>
      </c>
      <c r="J35" t="n">
        <v>3449.880271641571</v>
      </c>
      <c r="K35" t="n">
        <v>1</v>
      </c>
      <c r="L35" t="n">
        <v>3449.880271641571</v>
      </c>
      <c r="M35" t="inlineStr">
        <is>
          <t>thb</t>
        </is>
      </c>
      <c r="N35" s="72" t="n">
        <v>48772</v>
      </c>
      <c r="O35" s="72" t="n">
        <v>48864</v>
      </c>
      <c r="P35" t="inlineStr">
        <is>
          <t>Act365f</t>
        </is>
      </c>
      <c r="Q35" t="n">
        <v>0.252054794520548</v>
      </c>
      <c r="R35" t="n">
        <v/>
      </c>
      <c r="X35" s="73" t="n"/>
      <c r="Y35" s="73" t="n"/>
    </row>
    <row r="36">
      <c r="A36" t="inlineStr">
        <is>
          <t>CCS-001</t>
        </is>
      </c>
      <c r="B36" t="inlineStr">
        <is>
          <t>FixedPeriod</t>
        </is>
      </c>
      <c r="C36" t="inlineStr">
        <is>
          <t>Regular</t>
        </is>
      </c>
      <c r="D36" t="inlineStr">
        <is>
          <t>THB</t>
        </is>
      </c>
      <c r="E36" s="72" t="n">
        <v>48960</v>
      </c>
      <c r="F36" t="n">
        <v>-1000000</v>
      </c>
      <c r="G36" t="n">
        <v>0.9088714907224514</v>
      </c>
      <c r="H36" t="n">
        <v>1.5</v>
      </c>
      <c r="I36" t="n">
        <v>3780.821917808219</v>
      </c>
      <c r="J36" t="n">
        <v>3436.281252594474</v>
      </c>
      <c r="K36" t="n">
        <v>1</v>
      </c>
      <c r="L36" t="n">
        <v>3436.281252594474</v>
      </c>
      <c r="M36" t="inlineStr">
        <is>
          <t>thb</t>
        </is>
      </c>
      <c r="N36" s="72" t="n">
        <v>48864</v>
      </c>
      <c r="O36" s="72" t="n">
        <v>48956</v>
      </c>
      <c r="P36" t="inlineStr">
        <is>
          <t>Act365f</t>
        </is>
      </c>
      <c r="Q36" t="n">
        <v>0.252054794520548</v>
      </c>
      <c r="R36" t="n">
        <v/>
      </c>
      <c r="X36" s="19" t="n"/>
      <c r="Y36" s="19" t="n"/>
    </row>
    <row r="37">
      <c r="A37" t="inlineStr">
        <is>
          <t>CCS-001</t>
        </is>
      </c>
      <c r="B37" t="inlineStr">
        <is>
          <t>FixedPeriod</t>
        </is>
      </c>
      <c r="C37" t="inlineStr">
        <is>
          <t>Regular</t>
        </is>
      </c>
      <c r="D37" t="inlineStr">
        <is>
          <t>THB</t>
        </is>
      </c>
      <c r="E37" s="72" t="n">
        <v>49048</v>
      </c>
      <c r="F37" t="n">
        <v>-1000000</v>
      </c>
      <c r="G37" t="n">
        <v>0.9054646422601471</v>
      </c>
      <c r="H37" t="n">
        <v>1.5</v>
      </c>
      <c r="I37" t="n">
        <v>3698.630136986301</v>
      </c>
      <c r="J37" t="n">
        <v>3348.9788138389</v>
      </c>
      <c r="K37" t="n">
        <v>1</v>
      </c>
      <c r="L37" t="n">
        <v>3348.9788138389</v>
      </c>
      <c r="M37" t="inlineStr">
        <is>
          <t>thb</t>
        </is>
      </c>
      <c r="N37" s="72" t="n">
        <v>48956</v>
      </c>
      <c r="O37" s="72" t="n">
        <v>49046</v>
      </c>
      <c r="P37" t="inlineStr">
        <is>
          <t>Act365f</t>
        </is>
      </c>
      <c r="Q37" t="n">
        <v>0.2465753424657534</v>
      </c>
      <c r="R37" t="n">
        <v/>
      </c>
      <c r="X37" s="19" t="n"/>
      <c r="Y37" s="19" t="n"/>
    </row>
    <row r="38">
      <c r="A38" t="inlineStr">
        <is>
          <t>CCS-001</t>
        </is>
      </c>
      <c r="B38" t="inlineStr">
        <is>
          <t>FixedPeriod</t>
        </is>
      </c>
      <c r="C38" t="inlineStr">
        <is>
          <t>Regular</t>
        </is>
      </c>
      <c r="D38" t="inlineStr">
        <is>
          <t>THB</t>
        </is>
      </c>
      <c r="E38" s="72" t="n">
        <v>49139</v>
      </c>
      <c r="F38" t="n">
        <v>-1000000</v>
      </c>
      <c r="G38" t="n">
        <v>0.9019019544826983</v>
      </c>
      <c r="H38" t="n">
        <v>1.5</v>
      </c>
      <c r="I38" t="n">
        <v>3739.726027397261</v>
      </c>
      <c r="J38" t="n">
        <v>3372.866213339406</v>
      </c>
      <c r="K38" t="n">
        <v>1</v>
      </c>
      <c r="L38" t="n">
        <v>3372.866213339406</v>
      </c>
      <c r="M38" t="inlineStr">
        <is>
          <t>thb</t>
        </is>
      </c>
      <c r="N38" s="72" t="n">
        <v>49046</v>
      </c>
      <c r="O38" s="72" t="n">
        <v>49137</v>
      </c>
      <c r="P38" t="inlineStr">
        <is>
          <t>Act365f</t>
        </is>
      </c>
      <c r="Q38" t="n">
        <v>0.2493150684931507</v>
      </c>
      <c r="R38" t="n">
        <v/>
      </c>
      <c r="X38" s="19" t="n"/>
      <c r="Y38" s="19" t="n"/>
    </row>
    <row r="39">
      <c r="A39" t="inlineStr">
        <is>
          <t>CCS-001</t>
        </is>
      </c>
      <c r="B39" t="inlineStr">
        <is>
          <t>FixedPeriod</t>
        </is>
      </c>
      <c r="C39" t="inlineStr">
        <is>
          <t>Regular</t>
        </is>
      </c>
      <c r="D39" t="inlineStr">
        <is>
          <t>THB</t>
        </is>
      </c>
      <c r="E39" s="72" t="n">
        <v>49233</v>
      </c>
      <c r="F39" t="n">
        <v>-1000000</v>
      </c>
      <c r="G39" t="n">
        <v>0.8981800495846276</v>
      </c>
      <c r="H39" t="n">
        <v>1.5</v>
      </c>
      <c r="I39" t="n">
        <v>3780.821917808219</v>
      </c>
      <c r="J39" t="n">
        <v>3395.858817607633</v>
      </c>
      <c r="K39" t="n">
        <v>1</v>
      </c>
      <c r="L39" t="n">
        <v>3395.858817607633</v>
      </c>
      <c r="M39" t="inlineStr">
        <is>
          <t>thb</t>
        </is>
      </c>
      <c r="N39" s="72" t="n">
        <v>49137</v>
      </c>
      <c r="O39" s="72" t="n">
        <v>49229</v>
      </c>
      <c r="P39" t="inlineStr">
        <is>
          <t>Act365f</t>
        </is>
      </c>
      <c r="Q39" t="n">
        <v>0.252054794520548</v>
      </c>
      <c r="R39" t="n">
        <v/>
      </c>
      <c r="X39" s="19" t="n"/>
      <c r="Y39" s="19" t="n"/>
    </row>
    <row r="40">
      <c r="A40" t="inlineStr">
        <is>
          <t>CCS-001</t>
        </is>
      </c>
      <c r="B40" t="inlineStr">
        <is>
          <t>FixedPeriod</t>
        </is>
      </c>
      <c r="C40" t="inlineStr">
        <is>
          <t>Regular</t>
        </is>
      </c>
      <c r="D40" t="inlineStr">
        <is>
          <t>THB</t>
        </is>
      </c>
      <c r="E40" s="72" t="n">
        <v>49325</v>
      </c>
      <c r="F40" t="n">
        <v>-1000000</v>
      </c>
      <c r="G40" t="n">
        <v>0.8944968540971578</v>
      </c>
      <c r="H40" t="n">
        <v>1.5</v>
      </c>
      <c r="I40" t="n">
        <v>3780.821917808219</v>
      </c>
      <c r="J40" t="n">
        <v>3381.933311381035</v>
      </c>
      <c r="K40" t="n">
        <v>1</v>
      </c>
      <c r="L40" t="n">
        <v>3381.933311381035</v>
      </c>
      <c r="M40" t="inlineStr">
        <is>
          <t>thb</t>
        </is>
      </c>
      <c r="N40" s="72" t="n">
        <v>49229</v>
      </c>
      <c r="O40" s="72" t="n">
        <v>49321</v>
      </c>
      <c r="P40" t="inlineStr">
        <is>
          <t>Act365f</t>
        </is>
      </c>
      <c r="Q40" t="n">
        <v>0.252054794520548</v>
      </c>
      <c r="R40" t="n">
        <v/>
      </c>
      <c r="X40" s="19" t="n"/>
      <c r="Y40" s="19" t="n"/>
    </row>
    <row r="41">
      <c r="A41" t="inlineStr">
        <is>
          <t>CCS-001</t>
        </is>
      </c>
      <c r="B41" t="inlineStr">
        <is>
          <t>FixedPeriod</t>
        </is>
      </c>
      <c r="C41" t="inlineStr">
        <is>
          <t>Regular</t>
        </is>
      </c>
      <c r="D41" t="inlineStr">
        <is>
          <t>THB</t>
        </is>
      </c>
      <c r="E41" s="72" t="n">
        <v>49415</v>
      </c>
      <c r="F41" t="n">
        <v>-1000000</v>
      </c>
      <c r="G41" t="n">
        <v>0.8908555738902724</v>
      </c>
      <c r="H41" t="n">
        <v>1.5</v>
      </c>
      <c r="I41" t="n">
        <v>3698.630136986301</v>
      </c>
      <c r="J41" t="n">
        <v>3294.945273292788</v>
      </c>
      <c r="K41" t="n">
        <v>1</v>
      </c>
      <c r="L41" t="n">
        <v>3294.945273292788</v>
      </c>
      <c r="M41" t="inlineStr">
        <is>
          <t>thb</t>
        </is>
      </c>
      <c r="N41" s="72" t="n">
        <v>49321</v>
      </c>
      <c r="O41" s="72" t="n">
        <v>49411</v>
      </c>
      <c r="P41" t="inlineStr">
        <is>
          <t>Act365f</t>
        </is>
      </c>
      <c r="Q41" t="n">
        <v>0.2465753424657534</v>
      </c>
      <c r="R41" t="n">
        <v/>
      </c>
      <c r="X41" s="19" t="n"/>
      <c r="Y41" s="19" t="n"/>
    </row>
    <row r="42">
      <c r="A42" t="inlineStr">
        <is>
          <t>CCS-001</t>
        </is>
      </c>
      <c r="B42" t="inlineStr">
        <is>
          <t>FixedPeriod</t>
        </is>
      </c>
      <c r="C42" t="inlineStr">
        <is>
          <t>Regular</t>
        </is>
      </c>
      <c r="D42" t="inlineStr">
        <is>
          <t>THB</t>
        </is>
      </c>
      <c r="E42" s="72" t="n">
        <v>49507</v>
      </c>
      <c r="F42" t="n">
        <v>-1000000</v>
      </c>
      <c r="G42" t="n">
        <v>0.887094981950845</v>
      </c>
      <c r="H42" t="n">
        <v>1.5</v>
      </c>
      <c r="I42" t="n">
        <v>3739.726027397261</v>
      </c>
      <c r="J42" t="n">
        <v>3317.492192775078</v>
      </c>
      <c r="K42" t="n">
        <v>1</v>
      </c>
      <c r="L42" t="n">
        <v>3317.492192775078</v>
      </c>
      <c r="M42" t="inlineStr">
        <is>
          <t>thb</t>
        </is>
      </c>
      <c r="N42" s="72" t="n">
        <v>49411</v>
      </c>
      <c r="O42" s="72" t="n">
        <v>49502</v>
      </c>
      <c r="P42" t="inlineStr">
        <is>
          <t>Act365f</t>
        </is>
      </c>
      <c r="Q42" t="n">
        <v>0.2493150684931507</v>
      </c>
      <c r="R42" t="n">
        <v/>
      </c>
      <c r="X42" s="19" t="n"/>
      <c r="Y42" s="19" t="n"/>
    </row>
    <row r="43">
      <c r="A43" t="inlineStr">
        <is>
          <t>CCS-001</t>
        </is>
      </c>
      <c r="B43" t="inlineStr">
        <is>
          <t>FixedPeriod</t>
        </is>
      </c>
      <c r="C43" t="inlineStr">
        <is>
          <t>Regular</t>
        </is>
      </c>
      <c r="D43" t="inlineStr">
        <is>
          <t>THB</t>
        </is>
      </c>
      <c r="E43" s="72" t="n">
        <v>49598</v>
      </c>
      <c r="F43" t="n">
        <v>-1000000</v>
      </c>
      <c r="G43" t="n">
        <v>0.8831700594390001</v>
      </c>
      <c r="H43" t="n">
        <v>1.5</v>
      </c>
      <c r="I43" t="n">
        <v>3780.821917808219</v>
      </c>
      <c r="J43" t="n">
        <v>3339.108717878959</v>
      </c>
      <c r="K43" t="n">
        <v>1</v>
      </c>
      <c r="L43" t="n">
        <v>3339.108717878959</v>
      </c>
      <c r="M43" t="inlineStr">
        <is>
          <t>thb</t>
        </is>
      </c>
      <c r="N43" s="72" t="n">
        <v>49502</v>
      </c>
      <c r="O43" s="72" t="n">
        <v>49594</v>
      </c>
      <c r="P43" t="inlineStr">
        <is>
          <t>Act365f</t>
        </is>
      </c>
      <c r="Q43" t="n">
        <v>0.252054794520548</v>
      </c>
      <c r="R43" t="n">
        <v/>
      </c>
      <c r="X43" s="19" t="n"/>
      <c r="Y43" s="19" t="n"/>
    </row>
    <row r="44">
      <c r="A44" t="inlineStr">
        <is>
          <t>CCS-001</t>
        </is>
      </c>
      <c r="B44" t="inlineStr">
        <is>
          <t>Cashflow</t>
        </is>
      </c>
      <c r="C44" t="inlineStr">
        <is>
          <t>Exchange</t>
        </is>
      </c>
      <c r="D44" t="inlineStr">
        <is>
          <t>THB</t>
        </is>
      </c>
      <c r="E44" s="72" t="n">
        <v>49594</v>
      </c>
      <c r="F44" t="n">
        <v>-1000000</v>
      </c>
      <c r="G44" t="n">
        <v>0.883355844082834</v>
      </c>
      <c r="H44" t="n">
        <v/>
      </c>
      <c r="I44" t="n">
        <v>1000000</v>
      </c>
      <c r="J44" t="n">
        <v>883355.844082834</v>
      </c>
      <c r="K44" t="n">
        <v>1</v>
      </c>
      <c r="L44" t="n">
        <v>883355.844082834</v>
      </c>
      <c r="M44" t="inlineStr">
        <is>
          <t>thb</t>
        </is>
      </c>
      <c r="N44" s="72" t="n"/>
      <c r="O44" s="72" t="n"/>
      <c r="P44" t="n">
        <v/>
      </c>
      <c r="Q44" t="n">
        <v/>
      </c>
      <c r="R44" t="n">
        <v/>
      </c>
      <c r="X44" s="19" t="n"/>
      <c r="Y44" s="19" t="n"/>
    </row>
    <row r="45">
      <c r="A45" t="inlineStr">
        <is>
          <t>CCS-001</t>
        </is>
      </c>
      <c r="B45" t="inlineStr">
        <is>
          <t>Cashflow</t>
        </is>
      </c>
      <c r="C45" t="inlineStr">
        <is>
          <t>Exchange</t>
        </is>
      </c>
      <c r="D45" t="inlineStr">
        <is>
          <t>JPY</t>
        </is>
      </c>
      <c r="E45" s="72" t="n">
        <v>45912</v>
      </c>
      <c r="F45" t="n">
        <v>-4642485.53092613</v>
      </c>
      <c r="G45" t="n">
        <v>0.9999777702172085</v>
      </c>
      <c r="H45" t="n">
        <v/>
      </c>
      <c r="I45" t="n">
        <v>4642485.53092613</v>
      </c>
      <c r="J45" t="n">
        <v>4642382.329481164</v>
      </c>
      <c r="K45" t="n">
        <v>4.642463371012501</v>
      </c>
      <c r="L45" t="n">
        <v>21552089.91885199</v>
      </c>
      <c r="M45" t="inlineStr">
        <is>
          <t>jpy</t>
        </is>
      </c>
      <c r="N45" s="72" t="n"/>
      <c r="O45" s="72" t="n"/>
      <c r="P45" t="n">
        <v/>
      </c>
      <c r="Q45" t="n">
        <v/>
      </c>
      <c r="R45" t="n">
        <v/>
      </c>
      <c r="X45" s="19" t="n"/>
      <c r="Y45" s="19" t="n"/>
    </row>
    <row r="46">
      <c r="A46" t="inlineStr">
        <is>
          <t>CCS-001</t>
        </is>
      </c>
      <c r="B46" t="inlineStr">
        <is>
          <t>FloatPeriod</t>
        </is>
      </c>
      <c r="C46" t="inlineStr">
        <is>
          <t>Stub</t>
        </is>
      </c>
      <c r="D46" t="inlineStr">
        <is>
          <t>JPY</t>
        </is>
      </c>
      <c r="E46" s="72" t="n">
        <v>45946</v>
      </c>
      <c r="F46" t="n">
        <v>4642485.53092613</v>
      </c>
      <c r="G46" t="n">
        <v>0.9997022122135535</v>
      </c>
      <c r="H46" t="n">
        <v>0.4788211356414573</v>
      </c>
      <c r="I46" t="n">
        <v>-1948.861540047854</v>
      </c>
      <c r="J46" t="n">
        <v>-1948.281192883752</v>
      </c>
      <c r="K46" t="n">
        <v>4.642463371012501</v>
      </c>
      <c r="L46" t="n">
        <v>-9044.824074395359</v>
      </c>
      <c r="M46" t="inlineStr">
        <is>
          <t>jpy</t>
        </is>
      </c>
      <c r="N46" s="72" t="n">
        <v>45912</v>
      </c>
      <c r="O46" s="72" t="n">
        <v>45944</v>
      </c>
      <c r="P46" t="inlineStr">
        <is>
          <t>Act365f</t>
        </is>
      </c>
      <c r="Q46" t="n">
        <v>0.08767123287671233</v>
      </c>
      <c r="R46" t="n">
        <v>0</v>
      </c>
      <c r="X46" s="19" t="n"/>
      <c r="Y46" s="19" t="n"/>
    </row>
    <row r="47">
      <c r="A47" t="inlineStr">
        <is>
          <t>CCS-001</t>
        </is>
      </c>
      <c r="B47" t="inlineStr">
        <is>
          <t>FloatPeriod</t>
        </is>
      </c>
      <c r="C47" t="inlineStr">
        <is>
          <t>Regular</t>
        </is>
      </c>
      <c r="D47" t="inlineStr">
        <is>
          <t>JPY</t>
        </is>
      </c>
      <c r="E47" s="72" t="n">
        <v>46037</v>
      </c>
      <c r="F47" t="n">
        <v>4642485.53092613</v>
      </c>
      <c r="G47" t="n">
        <v>0.9991439449647873</v>
      </c>
      <c r="H47" t="n">
        <v>0.5515515256503645</v>
      </c>
      <c r="I47" t="n">
        <v>-6383.886792950041</v>
      </c>
      <c r="J47" t="n">
        <v>-6378.421834516709</v>
      </c>
      <c r="K47" t="n">
        <v>4.642463371012501</v>
      </c>
      <c r="L47" t="n">
        <v>-29611.58973161018</v>
      </c>
      <c r="M47" t="inlineStr">
        <is>
          <t>jpy</t>
        </is>
      </c>
      <c r="N47" s="72" t="n">
        <v>45944</v>
      </c>
      <c r="O47" s="72" t="n">
        <v>46035</v>
      </c>
      <c r="P47" t="inlineStr">
        <is>
          <t>Act365f</t>
        </is>
      </c>
      <c r="Q47" t="n">
        <v>0.2493150684931507</v>
      </c>
      <c r="R47" t="n">
        <v>0</v>
      </c>
      <c r="X47" s="19" t="n"/>
      <c r="Y47" s="19" t="n"/>
    </row>
    <row r="48">
      <c r="A48" t="inlineStr">
        <is>
          <t>CCS-001</t>
        </is>
      </c>
      <c r="B48" t="inlineStr">
        <is>
          <t>FloatPeriod</t>
        </is>
      </c>
      <c r="C48" t="inlineStr">
        <is>
          <t>Regular</t>
        </is>
      </c>
      <c r="D48" t="inlineStr">
        <is>
          <t>JPY</t>
        </is>
      </c>
      <c r="E48" s="72" t="n">
        <v>46127</v>
      </c>
      <c r="F48" t="n">
        <v>4642485.53092613</v>
      </c>
      <c r="G48" t="n">
        <v>0.9980443640811066</v>
      </c>
      <c r="H48" t="n">
        <v>0.6834808071524542</v>
      </c>
      <c r="I48" t="n">
        <v>-7823.95830707913</v>
      </c>
      <c r="J48" t="n">
        <v>-7808.657493185882</v>
      </c>
      <c r="K48" t="n">
        <v>4.642463371012501</v>
      </c>
      <c r="L48" t="n">
        <v>-36251.40638889775</v>
      </c>
      <c r="M48" t="inlineStr">
        <is>
          <t>jpy</t>
        </is>
      </c>
      <c r="N48" s="72" t="n">
        <v>46035</v>
      </c>
      <c r="O48" s="72" t="n">
        <v>46125</v>
      </c>
      <c r="P48" t="inlineStr">
        <is>
          <t>Act365f</t>
        </is>
      </c>
      <c r="Q48" t="n">
        <v>0.2465753424657534</v>
      </c>
      <c r="R48" t="n">
        <v>0</v>
      </c>
      <c r="X48" s="19" t="n"/>
      <c r="Y48" s="19" t="n"/>
    </row>
    <row r="49">
      <c r="A49" t="inlineStr">
        <is>
          <t>CCS-001</t>
        </is>
      </c>
      <c r="B49" t="inlineStr">
        <is>
          <t>FloatPeriod</t>
        </is>
      </c>
      <c r="C49" t="inlineStr">
        <is>
          <t>Regular</t>
        </is>
      </c>
      <c r="D49" t="inlineStr">
        <is>
          <t>JPY</t>
        </is>
      </c>
      <c r="E49" s="72" t="n">
        <v>46218</v>
      </c>
      <c r="F49" t="n">
        <v>4642485.53092613</v>
      </c>
      <c r="G49" t="n">
        <v>0.9967620014080782</v>
      </c>
      <c r="H49" t="n">
        <v>0.7785335698980307</v>
      </c>
      <c r="I49" t="n">
        <v>-9011.071393338645</v>
      </c>
      <c r="J49" t="n">
        <v>-8981.893556855308</v>
      </c>
      <c r="K49" t="n">
        <v>4.642463371012501</v>
      </c>
      <c r="L49" t="n">
        <v>-41698.11184003395</v>
      </c>
      <c r="M49" t="inlineStr">
        <is>
          <t>jpy</t>
        </is>
      </c>
      <c r="N49" s="72" t="n">
        <v>46125</v>
      </c>
      <c r="O49" s="72" t="n">
        <v>46216</v>
      </c>
      <c r="P49" t="inlineStr">
        <is>
          <t>Act365f</t>
        </is>
      </c>
      <c r="Q49" t="n">
        <v>0.2493150684931507</v>
      </c>
      <c r="R49" t="n">
        <v>0</v>
      </c>
      <c r="X49" s="19" t="n"/>
      <c r="Y49" s="19" t="n"/>
    </row>
    <row r="50">
      <c r="A50" t="inlineStr">
        <is>
          <t>CCS-001</t>
        </is>
      </c>
      <c r="B50" t="inlineStr">
        <is>
          <t>FloatPeriod</t>
        </is>
      </c>
      <c r="C50" t="inlineStr">
        <is>
          <t>Regular</t>
        </is>
      </c>
      <c r="D50" t="inlineStr">
        <is>
          <t>JPY</t>
        </is>
      </c>
      <c r="E50" s="72" t="n">
        <v>46310</v>
      </c>
      <c r="F50" t="n">
        <v>4642485.53092613</v>
      </c>
      <c r="G50" t="n">
        <v>0.995395132590168</v>
      </c>
      <c r="H50" t="n">
        <v>0.8648676788346938</v>
      </c>
      <c r="I50" t="n">
        <v>-10120.34200094048</v>
      </c>
      <c r="J50" t="n">
        <v>-10073.73916788399</v>
      </c>
      <c r="K50" t="n">
        <v>4.642463371012501</v>
      </c>
      <c r="L50" t="n">
        <v>-46766.96509603539</v>
      </c>
      <c r="M50" t="inlineStr">
        <is>
          <t>jpy</t>
        </is>
      </c>
      <c r="N50" s="72" t="n">
        <v>46216</v>
      </c>
      <c r="O50" s="72" t="n">
        <v>46308</v>
      </c>
      <c r="P50" t="inlineStr">
        <is>
          <t>Act365f</t>
        </is>
      </c>
      <c r="Q50" t="n">
        <v>0.252054794520548</v>
      </c>
      <c r="R50" t="n">
        <v>0</v>
      </c>
      <c r="X50" s="19" t="n"/>
      <c r="Y50" s="19" t="n"/>
    </row>
    <row r="51">
      <c r="A51" t="inlineStr">
        <is>
          <t>CCS-001</t>
        </is>
      </c>
      <c r="B51" t="inlineStr">
        <is>
          <t>FloatPeriod</t>
        </is>
      </c>
      <c r="C51" t="inlineStr">
        <is>
          <t>Regular</t>
        </is>
      </c>
      <c r="D51" t="inlineStr">
        <is>
          <t>JPY</t>
        </is>
      </c>
      <c r="E51" s="72" t="n">
        <v>46401</v>
      </c>
      <c r="F51" t="n">
        <v>4642485.53092613</v>
      </c>
      <c r="G51" t="n">
        <v>0.9940682865478228</v>
      </c>
      <c r="H51" t="n">
        <v>0.9294315778529917</v>
      </c>
      <c r="I51" t="n">
        <v>-10757.62770814577</v>
      </c>
      <c r="J51" t="n">
        <v>-10693.81654315584</v>
      </c>
      <c r="K51" t="n">
        <v>4.642463371012501</v>
      </c>
      <c r="L51" t="n">
        <v>-49645.65159792853</v>
      </c>
      <c r="M51" t="inlineStr">
        <is>
          <t>jpy</t>
        </is>
      </c>
      <c r="N51" s="72" t="n">
        <v>46308</v>
      </c>
      <c r="O51" s="72" t="n">
        <v>46399</v>
      </c>
      <c r="P51" t="inlineStr">
        <is>
          <t>Act365f</t>
        </is>
      </c>
      <c r="Q51" t="n">
        <v>0.2493150684931507</v>
      </c>
      <c r="R51" t="n">
        <v>0</v>
      </c>
      <c r="X51" s="19" t="n"/>
      <c r="Y51" s="19" t="n"/>
    </row>
    <row r="52">
      <c r="A52" t="inlineStr">
        <is>
          <t>CCS-001</t>
        </is>
      </c>
      <c r="B52" t="inlineStr">
        <is>
          <t>FloatPeriod</t>
        </is>
      </c>
      <c r="C52" t="inlineStr">
        <is>
          <t>Regular</t>
        </is>
      </c>
      <c r="D52" t="inlineStr">
        <is>
          <t>JPY</t>
        </is>
      </c>
      <c r="E52" s="72" t="n">
        <v>46491</v>
      </c>
      <c r="F52" t="n">
        <v>4642485.53092613</v>
      </c>
      <c r="G52" t="n">
        <v>0.9926257973996334</v>
      </c>
      <c r="H52" t="n">
        <v>0.9851858269742864</v>
      </c>
      <c r="I52" t="n">
        <v>-11277.64343096289</v>
      </c>
      <c r="J52" t="n">
        <v>-11194.47980344828</v>
      </c>
      <c r="K52" t="n">
        <v>4.642463371012501</v>
      </c>
      <c r="L52" t="n">
        <v>-51969.96244504787</v>
      </c>
      <c r="M52" t="inlineStr">
        <is>
          <t>jpy</t>
        </is>
      </c>
      <c r="N52" s="72" t="n">
        <v>46399</v>
      </c>
      <c r="O52" s="72" t="n">
        <v>46489</v>
      </c>
      <c r="P52" t="inlineStr">
        <is>
          <t>Act365f</t>
        </is>
      </c>
      <c r="Q52" t="n">
        <v>0.2465753424657534</v>
      </c>
      <c r="R52" t="n">
        <v>0</v>
      </c>
      <c r="X52" s="19" t="n"/>
      <c r="Y52" s="19" t="n"/>
    </row>
    <row r="53">
      <c r="A53" t="inlineStr">
        <is>
          <t>CCS-001</t>
        </is>
      </c>
      <c r="B53" t="inlineStr">
        <is>
          <t>FloatPeriod</t>
        </is>
      </c>
      <c r="C53" t="inlineStr">
        <is>
          <t>Regular</t>
        </is>
      </c>
      <c r="D53" t="inlineStr">
        <is>
          <t>JPY</t>
        </is>
      </c>
      <c r="E53" s="72" t="n">
        <v>46582</v>
      </c>
      <c r="F53" t="n">
        <v>4642485.53092613</v>
      </c>
      <c r="G53" t="n">
        <v>0.9909975558061229</v>
      </c>
      <c r="H53" t="n">
        <v>1.026392573178637</v>
      </c>
      <c r="I53" t="n">
        <v>-11879.89460199725</v>
      </c>
      <c r="J53" t="n">
        <v>-11772.94651381362</v>
      </c>
      <c r="K53" t="n">
        <v>4.642463371012501</v>
      </c>
      <c r="L53" t="n">
        <v>-54655.47295926906</v>
      </c>
      <c r="M53" t="inlineStr">
        <is>
          <t>jpy</t>
        </is>
      </c>
      <c r="N53" s="72" t="n">
        <v>46489</v>
      </c>
      <c r="O53" s="72" t="n">
        <v>46580</v>
      </c>
      <c r="P53" t="inlineStr">
        <is>
          <t>Act365f</t>
        </is>
      </c>
      <c r="Q53" t="n">
        <v>0.2493150684931507</v>
      </c>
      <c r="R53" t="n">
        <v>0</v>
      </c>
      <c r="X53" s="19" t="n"/>
      <c r="Y53" s="19" t="n"/>
    </row>
    <row r="54">
      <c r="A54" t="inlineStr">
        <is>
          <t>CCS-001</t>
        </is>
      </c>
      <c r="B54" t="inlineStr">
        <is>
          <t>FloatPeriod</t>
        </is>
      </c>
      <c r="C54" t="inlineStr">
        <is>
          <t>Regular</t>
        </is>
      </c>
      <c r="D54" t="inlineStr">
        <is>
          <t>JPY</t>
        </is>
      </c>
      <c r="E54" s="72" t="n">
        <v>46674</v>
      </c>
      <c r="F54" t="n">
        <v>4642485.53092613</v>
      </c>
      <c r="G54" t="n">
        <v>0.9892992793151369</v>
      </c>
      <c r="H54" t="n">
        <v>1.042063582451791</v>
      </c>
      <c r="I54" t="n">
        <v>-12193.81889186436</v>
      </c>
      <c r="J54" t="n">
        <v>-12063.33624182071</v>
      </c>
      <c r="K54" t="n">
        <v>4.642463371012501</v>
      </c>
      <c r="L54" t="n">
        <v>-56003.59663486025</v>
      </c>
      <c r="M54" t="inlineStr">
        <is>
          <t>jpy</t>
        </is>
      </c>
      <c r="N54" s="72" t="n">
        <v>46580</v>
      </c>
      <c r="O54" s="72" t="n">
        <v>46672</v>
      </c>
      <c r="P54" t="inlineStr">
        <is>
          <t>Act365f</t>
        </is>
      </c>
      <c r="Q54" t="n">
        <v>0.252054794520548</v>
      </c>
      <c r="R54" t="n">
        <v>0</v>
      </c>
      <c r="X54" s="19" t="n"/>
      <c r="Y54" s="19" t="n"/>
    </row>
    <row r="55">
      <c r="A55" t="inlineStr">
        <is>
          <t>CCS-001</t>
        </is>
      </c>
      <c r="B55" t="inlineStr">
        <is>
          <t>FloatPeriod</t>
        </is>
      </c>
      <c r="C55" t="inlineStr">
        <is>
          <t>Regular</t>
        </is>
      </c>
      <c r="D55" t="inlineStr">
        <is>
          <t>JPY</t>
        </is>
      </c>
      <c r="E55" s="72" t="n">
        <v>46766</v>
      </c>
      <c r="F55" t="n">
        <v>4642485.53092613</v>
      </c>
      <c r="G55" t="n">
        <v>0.9876588837117671</v>
      </c>
      <c r="H55" t="n">
        <v>1.054137469007631</v>
      </c>
      <c r="I55" t="n">
        <v>-12335.10277171786</v>
      </c>
      <c r="J55" t="n">
        <v>-12182.87383398478</v>
      </c>
      <c r="K55" t="n">
        <v>4.642463371012501</v>
      </c>
      <c r="L55" t="n">
        <v>-56558.54552794099</v>
      </c>
      <c r="M55" t="inlineStr">
        <is>
          <t>jpy</t>
        </is>
      </c>
      <c r="N55" s="72" t="n">
        <v>46672</v>
      </c>
      <c r="O55" s="72" t="n">
        <v>46764</v>
      </c>
      <c r="P55" t="inlineStr">
        <is>
          <t>Act365f</t>
        </is>
      </c>
      <c r="Q55" t="n">
        <v>0.252054794520548</v>
      </c>
      <c r="R55" t="n">
        <v>0</v>
      </c>
      <c r="X55" s="19" t="n"/>
      <c r="Y55" s="19" t="n"/>
    </row>
    <row r="56">
      <c r="A56" t="inlineStr">
        <is>
          <t>CCS-001</t>
        </is>
      </c>
      <c r="B56" t="inlineStr">
        <is>
          <t>FloatPeriod</t>
        </is>
      </c>
      <c r="C56" t="inlineStr">
        <is>
          <t>Regular</t>
        </is>
      </c>
      <c r="D56" t="inlineStr">
        <is>
          <t>JPY</t>
        </is>
      </c>
      <c r="E56" s="72" t="n">
        <v>46857</v>
      </c>
      <c r="F56" t="n">
        <v>4642485.53092613</v>
      </c>
      <c r="G56" t="n">
        <v>0.9859630993643534</v>
      </c>
      <c r="H56" t="n">
        <v>1.09964208743654</v>
      </c>
      <c r="I56" t="n">
        <v>-12727.71495044001</v>
      </c>
      <c r="J56" t="n">
        <v>-12549.05728036185</v>
      </c>
      <c r="K56" t="n">
        <v>4.642463371012501</v>
      </c>
      <c r="L56" t="n">
        <v>-58258.53876481765</v>
      </c>
      <c r="M56" t="inlineStr">
        <is>
          <t>jpy</t>
        </is>
      </c>
      <c r="N56" s="72" t="n">
        <v>46764</v>
      </c>
      <c r="O56" s="72" t="n">
        <v>46855</v>
      </c>
      <c r="P56" t="inlineStr">
        <is>
          <t>Act365f</t>
        </is>
      </c>
      <c r="Q56" t="n">
        <v>0.2493150684931507</v>
      </c>
      <c r="R56" t="n">
        <v>0</v>
      </c>
      <c r="X56" s="19" t="n"/>
      <c r="Y56" s="19" t="n"/>
    </row>
    <row r="57">
      <c r="A57" t="inlineStr">
        <is>
          <t>CCS-001</t>
        </is>
      </c>
      <c r="B57" t="inlineStr">
        <is>
          <t>FloatPeriod</t>
        </is>
      </c>
      <c r="C57" t="inlineStr">
        <is>
          <t>Regular</t>
        </is>
      </c>
      <c r="D57" t="inlineStr">
        <is>
          <t>JPY</t>
        </is>
      </c>
      <c r="E57" s="72" t="n">
        <v>46948</v>
      </c>
      <c r="F57" t="n">
        <v>4642485.53092613</v>
      </c>
      <c r="G57" t="n">
        <v>0.9841948817784687</v>
      </c>
      <c r="H57" t="n">
        <v>1.144668939058968</v>
      </c>
      <c r="I57" t="n">
        <v>-13248.87446144236</v>
      </c>
      <c r="J57" t="n">
        <v>-13039.47443427703</v>
      </c>
      <c r="K57" t="n">
        <v>4.642463371012501</v>
      </c>
      <c r="L57" t="n">
        <v>-60535.28243838508</v>
      </c>
      <c r="M57" t="inlineStr">
        <is>
          <t>jpy</t>
        </is>
      </c>
      <c r="N57" s="72" t="n">
        <v>46855</v>
      </c>
      <c r="O57" s="72" t="n">
        <v>46946</v>
      </c>
      <c r="P57" t="inlineStr">
        <is>
          <t>Act365f</t>
        </is>
      </c>
      <c r="Q57" t="n">
        <v>0.2493150684931507</v>
      </c>
      <c r="R57" t="n">
        <v>0</v>
      </c>
      <c r="X57" s="19" t="n"/>
      <c r="Y57" s="19" t="n"/>
    </row>
    <row r="58">
      <c r="A58" t="inlineStr">
        <is>
          <t>CCS-001</t>
        </is>
      </c>
      <c r="B58" t="inlineStr">
        <is>
          <t>FloatPeriod</t>
        </is>
      </c>
      <c r="C58" t="inlineStr">
        <is>
          <t>Regular</t>
        </is>
      </c>
      <c r="D58" t="inlineStr">
        <is>
          <t>JPY</t>
        </is>
      </c>
      <c r="E58" s="72" t="n">
        <v>47042</v>
      </c>
      <c r="F58" t="n">
        <v>4642485.53092613</v>
      </c>
      <c r="G58" t="n">
        <v>0.9823612282171562</v>
      </c>
      <c r="H58" t="n">
        <v>1.169873947003908</v>
      </c>
      <c r="I58" t="n">
        <v>-13689.40559511024</v>
      </c>
      <c r="J58" t="n">
        <v>-13447.94129397531</v>
      </c>
      <c r="K58" t="n">
        <v>4.642463371012501</v>
      </c>
      <c r="L58" t="n">
        <v>-62431.57487280682</v>
      </c>
      <c r="M58" t="inlineStr">
        <is>
          <t>jpy</t>
        </is>
      </c>
      <c r="N58" s="72" t="n">
        <v>46946</v>
      </c>
      <c r="O58" s="72" t="n">
        <v>47038</v>
      </c>
      <c r="P58" t="inlineStr">
        <is>
          <t>Act365f</t>
        </is>
      </c>
      <c r="Q58" t="n">
        <v>0.252054794520548</v>
      </c>
      <c r="R58" t="n">
        <v>0</v>
      </c>
      <c r="X58" s="19" t="n"/>
      <c r="Y58" s="19" t="n"/>
    </row>
    <row r="59">
      <c r="A59" t="inlineStr">
        <is>
          <t>CCS-001</t>
        </is>
      </c>
      <c r="B59" t="inlineStr">
        <is>
          <t>FloatPeriod</t>
        </is>
      </c>
      <c r="C59" t="inlineStr">
        <is>
          <t>Regular</t>
        </is>
      </c>
      <c r="D59" t="inlineStr">
        <is>
          <t>JPY</t>
        </is>
      </c>
      <c r="E59" s="72" t="n">
        <v>47134</v>
      </c>
      <c r="F59" t="n">
        <v>4642485.53092613</v>
      </c>
      <c r="G59" t="n">
        <v>0.9806310064229466</v>
      </c>
      <c r="H59" t="n">
        <v>1.146878326690949</v>
      </c>
      <c r="I59" t="n">
        <v>-13420.31987507908</v>
      </c>
      <c r="J59" t="n">
        <v>-13160.38178561667</v>
      </c>
      <c r="K59" t="n">
        <v>4.642463371012501</v>
      </c>
      <c r="L59" t="n">
        <v>-61096.59038826549</v>
      </c>
      <c r="M59" t="inlineStr">
        <is>
          <t>jpy</t>
        </is>
      </c>
      <c r="N59" s="72" t="n">
        <v>47038</v>
      </c>
      <c r="O59" s="72" t="n">
        <v>47130</v>
      </c>
      <c r="P59" t="inlineStr">
        <is>
          <t>Act365f</t>
        </is>
      </c>
      <c r="Q59" t="n">
        <v>0.252054794520548</v>
      </c>
      <c r="R59" t="n">
        <v>0</v>
      </c>
      <c r="X59" s="19" t="n"/>
      <c r="Y59" s="19" t="n"/>
    </row>
    <row r="60">
      <c r="A60" t="inlineStr">
        <is>
          <t>CCS-001</t>
        </is>
      </c>
      <c r="B60" t="inlineStr">
        <is>
          <t>FloatPeriod</t>
        </is>
      </c>
      <c r="C60" t="inlineStr">
        <is>
          <t>Regular</t>
        </is>
      </c>
      <c r="D60" t="inlineStr">
        <is>
          <t>JPY</t>
        </is>
      </c>
      <c r="E60" s="72" t="n">
        <v>47224</v>
      </c>
      <c r="F60" t="n">
        <v>4642485.53092613</v>
      </c>
      <c r="G60" t="n">
        <v>0.9788962781070137</v>
      </c>
      <c r="H60" t="n">
        <v>1.178824433156507</v>
      </c>
      <c r="I60" t="n">
        <v>-13494.26804654288</v>
      </c>
      <c r="J60" t="n">
        <v>-13209.48876653923</v>
      </c>
      <c r="K60" t="n">
        <v>4.642463371012501</v>
      </c>
      <c r="L60" t="n">
        <v>-61324.56774845946</v>
      </c>
      <c r="M60" t="inlineStr">
        <is>
          <t>jpy</t>
        </is>
      </c>
      <c r="N60" s="72" t="n">
        <v>47130</v>
      </c>
      <c r="O60" s="72" t="n">
        <v>47220</v>
      </c>
      <c r="P60" t="inlineStr">
        <is>
          <t>Act365f</t>
        </is>
      </c>
      <c r="Q60" t="n">
        <v>0.2465753424657534</v>
      </c>
      <c r="R60" t="n">
        <v>0</v>
      </c>
      <c r="X60" s="19" t="n"/>
      <c r="Y60" s="19" t="n"/>
    </row>
    <row r="61">
      <c r="A61" t="inlineStr">
        <is>
          <t>CCS-001</t>
        </is>
      </c>
      <c r="B61" t="inlineStr">
        <is>
          <t>FloatPeriod</t>
        </is>
      </c>
      <c r="C61" t="inlineStr">
        <is>
          <t>Regular</t>
        </is>
      </c>
      <c r="D61" t="inlineStr">
        <is>
          <t>JPY</t>
        </is>
      </c>
      <c r="E61" s="72" t="n">
        <v>47316</v>
      </c>
      <c r="F61" t="n">
        <v>4642485.53092613</v>
      </c>
      <c r="G61" t="n">
        <v>0.9770801870739362</v>
      </c>
      <c r="H61" t="n">
        <v>1.210653366509607</v>
      </c>
      <c r="I61" t="n">
        <v>-14012.60567303822</v>
      </c>
      <c r="J61" t="n">
        <v>-13691.43937240548</v>
      </c>
      <c r="K61" t="n">
        <v>4.642463371012501</v>
      </c>
      <c r="L61" t="n">
        <v>-63562.00578283085</v>
      </c>
      <c r="M61" t="inlineStr">
        <is>
          <t>jpy</t>
        </is>
      </c>
      <c r="N61" s="72" t="n">
        <v>47220</v>
      </c>
      <c r="O61" s="72" t="n">
        <v>47311</v>
      </c>
      <c r="P61" t="inlineStr">
        <is>
          <t>Act365f</t>
        </is>
      </c>
      <c r="Q61" t="n">
        <v>0.2493150684931507</v>
      </c>
      <c r="R61" t="n">
        <v>0</v>
      </c>
      <c r="X61" s="19" t="n"/>
      <c r="Y61" s="19" t="n"/>
    </row>
    <row r="62">
      <c r="A62" t="inlineStr">
        <is>
          <t>CCS-001</t>
        </is>
      </c>
      <c r="B62" t="inlineStr">
        <is>
          <t>FloatPeriod</t>
        </is>
      </c>
      <c r="C62" t="inlineStr">
        <is>
          <t>Regular</t>
        </is>
      </c>
      <c r="D62" t="inlineStr">
        <is>
          <t>JPY</t>
        </is>
      </c>
      <c r="E62" s="72" t="n">
        <v>47407</v>
      </c>
      <c r="F62" t="n">
        <v>4642485.53092613</v>
      </c>
      <c r="G62" t="n">
        <v>0.9752121738720861</v>
      </c>
      <c r="H62" t="n">
        <v>1.234082892726911</v>
      </c>
      <c r="I62" t="n">
        <v>-14440.75346732135</v>
      </c>
      <c r="J62" t="n">
        <v>-14082.79858121732</v>
      </c>
      <c r="K62" t="n">
        <v>4.642463371012501</v>
      </c>
      <c r="L62" t="n">
        <v>-65378.87657464824</v>
      </c>
      <c r="M62" t="inlineStr">
        <is>
          <t>jpy</t>
        </is>
      </c>
      <c r="N62" s="72" t="n">
        <v>47311</v>
      </c>
      <c r="O62" s="72" t="n">
        <v>47403</v>
      </c>
      <c r="P62" t="inlineStr">
        <is>
          <t>Act365f</t>
        </is>
      </c>
      <c r="Q62" t="n">
        <v>0.252054794520548</v>
      </c>
      <c r="R62" t="n">
        <v>0</v>
      </c>
      <c r="X62" s="19" t="n"/>
      <c r="Y62" s="19" t="n"/>
    </row>
    <row r="63">
      <c r="A63" t="inlineStr">
        <is>
          <t>CCS-001</t>
        </is>
      </c>
      <c r="B63" t="inlineStr">
        <is>
          <t>FloatPeriod</t>
        </is>
      </c>
      <c r="C63" t="inlineStr">
        <is>
          <t>Regular</t>
        </is>
      </c>
      <c r="D63" t="inlineStr">
        <is>
          <t>JPY</t>
        </is>
      </c>
      <c r="E63" s="72" t="n">
        <v>47500</v>
      </c>
      <c r="F63" t="n">
        <v>4642485.53092613</v>
      </c>
      <c r="G63" t="n">
        <v>0.9732030465487777</v>
      </c>
      <c r="H63" t="n">
        <v>1.237967084422151</v>
      </c>
      <c r="I63" t="n">
        <v>-14958.5809954329</v>
      </c>
      <c r="J63" t="n">
        <v>-14557.73659680195</v>
      </c>
      <c r="K63" t="n">
        <v>4.642463371012501</v>
      </c>
      <c r="L63" t="n">
        <v>-67583.75891550122</v>
      </c>
      <c r="M63" t="inlineStr">
        <is>
          <t>jpy</t>
        </is>
      </c>
      <c r="N63" s="72" t="n">
        <v>47403</v>
      </c>
      <c r="O63" s="72" t="n">
        <v>47498</v>
      </c>
      <c r="P63" t="inlineStr">
        <is>
          <t>Act365f</t>
        </is>
      </c>
      <c r="Q63" t="n">
        <v>0.2602739726027397</v>
      </c>
      <c r="R63" t="n">
        <v>0</v>
      </c>
      <c r="X63" s="19" t="n"/>
      <c r="Y63" s="19" t="n"/>
    </row>
    <row r="64">
      <c r="A64" t="inlineStr">
        <is>
          <t>CCS-001</t>
        </is>
      </c>
      <c r="B64" t="inlineStr">
        <is>
          <t>FloatPeriod</t>
        </is>
      </c>
      <c r="C64" t="inlineStr">
        <is>
          <t>Regular</t>
        </is>
      </c>
      <c r="D64" t="inlineStr">
        <is>
          <t>JPY</t>
        </is>
      </c>
      <c r="E64" s="72" t="n">
        <v>47589</v>
      </c>
      <c r="F64" t="n">
        <v>4642485.53092613</v>
      </c>
      <c r="G64" t="n">
        <v>0.9712306946639886</v>
      </c>
      <c r="H64" t="n">
        <v>1.265496322591221</v>
      </c>
      <c r="I64" t="n">
        <v>-14003.53994342705</v>
      </c>
      <c r="J64" t="n">
        <v>-13600.66782700956</v>
      </c>
      <c r="K64" t="n">
        <v>4.642463371012501</v>
      </c>
      <c r="L64" t="n">
        <v>-63140.60220820007</v>
      </c>
      <c r="M64" t="inlineStr">
        <is>
          <t>jpy</t>
        </is>
      </c>
      <c r="N64" s="72" t="n">
        <v>47498</v>
      </c>
      <c r="O64" s="72" t="n">
        <v>47585</v>
      </c>
      <c r="P64" t="inlineStr">
        <is>
          <t>Act365f</t>
        </is>
      </c>
      <c r="Q64" t="n">
        <v>0.2383561643835616</v>
      </c>
      <c r="R64" t="n">
        <v>0</v>
      </c>
      <c r="X64" s="19" t="n"/>
      <c r="Y64" s="19" t="n"/>
    </row>
    <row r="65">
      <c r="A65" t="inlineStr">
        <is>
          <t>CCS-001</t>
        </is>
      </c>
      <c r="B65" t="inlineStr">
        <is>
          <t>FloatPeriod</t>
        </is>
      </c>
      <c r="C65" t="inlineStr">
        <is>
          <t>Regular</t>
        </is>
      </c>
      <c r="D65" t="inlineStr">
        <is>
          <t>JPY</t>
        </is>
      </c>
      <c r="E65" s="72" t="n">
        <v>47681</v>
      </c>
      <c r="F65" t="n">
        <v>4642485.53092613</v>
      </c>
      <c r="G65" t="n">
        <v>0.9691411642460789</v>
      </c>
      <c r="H65" t="n">
        <v>1.292677815845413</v>
      </c>
      <c r="I65" t="n">
        <v>-14961.99077028078</v>
      </c>
      <c r="J65" t="n">
        <v>-14500.281154549</v>
      </c>
      <c r="K65" t="n">
        <v>4.642463371012501</v>
      </c>
      <c r="L65" t="n">
        <v>-67317.02412937659</v>
      </c>
      <c r="M65" t="inlineStr">
        <is>
          <t>jpy</t>
        </is>
      </c>
      <c r="N65" s="72" t="n">
        <v>47585</v>
      </c>
      <c r="O65" s="72" t="n">
        <v>47676</v>
      </c>
      <c r="P65" t="inlineStr">
        <is>
          <t>Act365f</t>
        </is>
      </c>
      <c r="Q65" t="n">
        <v>0.2493150684931507</v>
      </c>
      <c r="R65" t="n">
        <v>0</v>
      </c>
    </row>
    <row r="66">
      <c r="A66" t="inlineStr">
        <is>
          <t>CCS-001</t>
        </is>
      </c>
      <c r="B66" t="inlineStr">
        <is>
          <t>FloatPeriod</t>
        </is>
      </c>
      <c r="C66" t="inlineStr">
        <is>
          <t>Regular</t>
        </is>
      </c>
      <c r="D66" t="inlineStr">
        <is>
          <t>JPY</t>
        </is>
      </c>
      <c r="E66" s="72" t="n">
        <v>47773</v>
      </c>
      <c r="F66" t="n">
        <v>4642485.53092613</v>
      </c>
      <c r="G66" t="n">
        <v>0.9669839724851225</v>
      </c>
      <c r="H66" t="n">
        <v>1.32325194737793</v>
      </c>
      <c r="I66" t="n">
        <v>-15989.09347533772</v>
      </c>
      <c r="J66" t="n">
        <v>-15461.19712521803</v>
      </c>
      <c r="K66" t="n">
        <v>4.642463371012501</v>
      </c>
      <c r="L66" t="n">
        <v>-71778.04132582847</v>
      </c>
      <c r="M66" t="inlineStr">
        <is>
          <t>jpy</t>
        </is>
      </c>
      <c r="N66" s="72" t="n">
        <v>47676</v>
      </c>
      <c r="O66" s="72" t="n">
        <v>47771</v>
      </c>
      <c r="P66" t="inlineStr">
        <is>
          <t>Act365f</t>
        </is>
      </c>
      <c r="Q66" t="n">
        <v>0.2602739726027397</v>
      </c>
      <c r="R66" t="n">
        <v>0</v>
      </c>
    </row>
    <row r="67">
      <c r="A67" t="inlineStr">
        <is>
          <t>CCS-001</t>
        </is>
      </c>
      <c r="B67" t="inlineStr">
        <is>
          <t>FloatPeriod</t>
        </is>
      </c>
      <c r="C67" t="inlineStr">
        <is>
          <t>Regular</t>
        </is>
      </c>
      <c r="D67" t="inlineStr">
        <is>
          <t>JPY</t>
        </is>
      </c>
      <c r="E67" s="72" t="n">
        <v>47864</v>
      </c>
      <c r="F67" t="n">
        <v>4642485.53092613</v>
      </c>
      <c r="G67" t="n">
        <v>0.9647709315281739</v>
      </c>
      <c r="H67" t="n">
        <v>1.357716529343366</v>
      </c>
      <c r="I67" t="n">
        <v>-15714.77589518903</v>
      </c>
      <c r="J67" t="n">
        <v>-15161.15897915801</v>
      </c>
      <c r="K67" t="n">
        <v>4.642463371012501</v>
      </c>
      <c r="L67" t="n">
        <v>-70385.12522283834</v>
      </c>
      <c r="M67" t="inlineStr">
        <is>
          <t>jpy</t>
        </is>
      </c>
      <c r="N67" s="72" t="n">
        <v>47771</v>
      </c>
      <c r="O67" s="72" t="n">
        <v>47862</v>
      </c>
      <c r="P67" t="inlineStr">
        <is>
          <t>Act365f</t>
        </is>
      </c>
      <c r="Q67" t="n">
        <v>0.2493150684931507</v>
      </c>
      <c r="R67" t="n">
        <v>0</v>
      </c>
    </row>
    <row r="68">
      <c r="A68" t="inlineStr">
        <is>
          <t>CCS-001</t>
        </is>
      </c>
      <c r="B68" t="inlineStr">
        <is>
          <t>FloatPeriod</t>
        </is>
      </c>
      <c r="C68" t="inlineStr">
        <is>
          <t>Regular</t>
        </is>
      </c>
      <c r="D68" t="inlineStr">
        <is>
          <t>JPY</t>
        </is>
      </c>
      <c r="E68" s="72" t="n">
        <v>47954</v>
      </c>
      <c r="F68" t="n">
        <v>4642485.53092613</v>
      </c>
      <c r="G68" t="n">
        <v>0.9625297579284512</v>
      </c>
      <c r="H68" t="n">
        <v>1.386019373932726</v>
      </c>
      <c r="I68" t="n">
        <v>-15866.07506892979</v>
      </c>
      <c r="J68" t="n">
        <v>-15271.56939537163</v>
      </c>
      <c r="K68" t="n">
        <v>4.642463371012501</v>
      </c>
      <c r="L68" t="n">
        <v>-70897.70153588831</v>
      </c>
      <c r="M68" t="inlineStr">
        <is>
          <t>jpy</t>
        </is>
      </c>
      <c r="N68" s="72" t="n">
        <v>47862</v>
      </c>
      <c r="O68" s="72" t="n">
        <v>47952</v>
      </c>
      <c r="P68" t="inlineStr">
        <is>
          <t>Act365f</t>
        </is>
      </c>
      <c r="Q68" t="n">
        <v>0.2465753424657534</v>
      </c>
      <c r="R68" t="n">
        <v>0</v>
      </c>
    </row>
    <row r="69">
      <c r="A69" t="inlineStr">
        <is>
          <t>CCS-001</t>
        </is>
      </c>
      <c r="B69" t="inlineStr">
        <is>
          <t>FloatPeriod</t>
        </is>
      </c>
      <c r="C69" t="inlineStr">
        <is>
          <t>Regular</t>
        </is>
      </c>
      <c r="D69" t="inlineStr">
        <is>
          <t>JPY</t>
        </is>
      </c>
      <c r="E69" s="72" t="n">
        <v>48045</v>
      </c>
      <c r="F69" t="n">
        <v>4642485.53092613</v>
      </c>
      <c r="G69" t="n">
        <v>0.9602110440376356</v>
      </c>
      <c r="H69" t="n">
        <v>1.41437678493094</v>
      </c>
      <c r="I69" t="n">
        <v>-16370.58526296147</v>
      </c>
      <c r="J69" t="n">
        <v>-15719.21676685536</v>
      </c>
      <c r="K69" t="n">
        <v>4.642463371012501</v>
      </c>
      <c r="L69" t="n">
        <v>-72975.88806113155</v>
      </c>
      <c r="M69" t="inlineStr">
        <is>
          <t>jpy</t>
        </is>
      </c>
      <c r="N69" s="72" t="n">
        <v>47952</v>
      </c>
      <c r="O69" s="72" t="n">
        <v>48043</v>
      </c>
      <c r="P69" t="inlineStr">
        <is>
          <t>Act365f</t>
        </is>
      </c>
      <c r="Q69" t="n">
        <v>0.2493150684931507</v>
      </c>
      <c r="R69" t="n">
        <v>0</v>
      </c>
    </row>
    <row r="70">
      <c r="A70" t="inlineStr">
        <is>
          <t>CCS-001</t>
        </is>
      </c>
      <c r="B70" t="inlineStr">
        <is>
          <t>FloatPeriod</t>
        </is>
      </c>
      <c r="C70" t="inlineStr">
        <is>
          <t>Regular</t>
        </is>
      </c>
      <c r="D70" t="inlineStr">
        <is>
          <t>JPY</t>
        </is>
      </c>
      <c r="E70" s="72" t="n">
        <v>48137</v>
      </c>
      <c r="F70" t="n">
        <v>4642485.53092613</v>
      </c>
      <c r="G70" t="n">
        <v>0.9577406268163112</v>
      </c>
      <c r="H70" t="n">
        <v>1.453629532148053</v>
      </c>
      <c r="I70" t="n">
        <v>-17009.80204026935</v>
      </c>
      <c r="J70" t="n">
        <v>-16290.97846806894</v>
      </c>
      <c r="K70" t="n">
        <v>4.642463371012501</v>
      </c>
      <c r="L70" t="n">
        <v>-75630.27081596339</v>
      </c>
      <c r="M70" t="inlineStr">
        <is>
          <t>jpy</t>
        </is>
      </c>
      <c r="N70" s="72" t="n">
        <v>48043</v>
      </c>
      <c r="O70" s="72" t="n">
        <v>48135</v>
      </c>
      <c r="P70" t="inlineStr">
        <is>
          <t>Act365f</t>
        </is>
      </c>
      <c r="Q70" t="n">
        <v>0.252054794520548</v>
      </c>
      <c r="R70" t="n">
        <v>0</v>
      </c>
    </row>
    <row r="71">
      <c r="A71" t="inlineStr">
        <is>
          <t>CCS-001</t>
        </is>
      </c>
      <c r="B71" t="inlineStr">
        <is>
          <t>FloatPeriod</t>
        </is>
      </c>
      <c r="C71" t="inlineStr">
        <is>
          <t>Regular</t>
        </is>
      </c>
      <c r="D71" t="inlineStr">
        <is>
          <t>JPY</t>
        </is>
      </c>
      <c r="E71" s="72" t="n">
        <v>48228</v>
      </c>
      <c r="F71" t="n">
        <v>4642485.53092613</v>
      </c>
      <c r="G71" t="n">
        <v>0.9551115724513097</v>
      </c>
      <c r="H71" t="n">
        <v>1.512637173007768</v>
      </c>
      <c r="I71" t="n">
        <v>-17507.8918690381</v>
      </c>
      <c r="J71" t="n">
        <v>-16721.99013334448</v>
      </c>
      <c r="K71" t="n">
        <v>4.642463371012501</v>
      </c>
      <c r="L71" t="n">
        <v>-77631.22668448421</v>
      </c>
      <c r="M71" t="inlineStr">
        <is>
          <t>jpy</t>
        </is>
      </c>
      <c r="N71" s="72" t="n">
        <v>48135</v>
      </c>
      <c r="O71" s="72" t="n">
        <v>48226</v>
      </c>
      <c r="P71" t="inlineStr">
        <is>
          <t>Act365f</t>
        </is>
      </c>
      <c r="Q71" t="n">
        <v>0.2493150684931507</v>
      </c>
      <c r="R71" t="n">
        <v>0</v>
      </c>
    </row>
    <row r="72">
      <c r="A72" t="inlineStr">
        <is>
          <t>CCS-001</t>
        </is>
      </c>
      <c r="B72" t="inlineStr">
        <is>
          <t>FloatPeriod</t>
        </is>
      </c>
      <c r="C72" t="inlineStr">
        <is>
          <t>Regular</t>
        </is>
      </c>
      <c r="D72" t="inlineStr">
        <is>
          <t>JPY</t>
        </is>
      </c>
      <c r="E72" s="72" t="n">
        <v>48318</v>
      </c>
      <c r="F72" t="n">
        <v>4642485.53092613</v>
      </c>
      <c r="G72" t="n">
        <v>0.9524460922781566</v>
      </c>
      <c r="H72" t="n">
        <v>1.544121864616002</v>
      </c>
      <c r="I72" t="n">
        <v>-17675.90978909539</v>
      </c>
      <c r="J72" t="n">
        <v>-16835.35120608512</v>
      </c>
      <c r="K72" t="n">
        <v>4.642463371012501</v>
      </c>
      <c r="L72" t="n">
        <v>-78157.5013123813</v>
      </c>
      <c r="M72" t="inlineStr">
        <is>
          <t>jpy</t>
        </is>
      </c>
      <c r="N72" s="72" t="n">
        <v>48226</v>
      </c>
      <c r="O72" s="72" t="n">
        <v>48316</v>
      </c>
      <c r="P72" t="inlineStr">
        <is>
          <t>Act365f</t>
        </is>
      </c>
      <c r="Q72" t="n">
        <v>0.2465753424657534</v>
      </c>
      <c r="R72" t="n">
        <v>0</v>
      </c>
    </row>
    <row r="73">
      <c r="A73" t="inlineStr">
        <is>
          <t>CCS-001</t>
        </is>
      </c>
      <c r="B73" t="inlineStr">
        <is>
          <t>FloatPeriod</t>
        </is>
      </c>
      <c r="C73" t="inlineStr">
        <is>
          <t>Regular</t>
        </is>
      </c>
      <c r="D73" t="inlineStr">
        <is>
          <t>JPY</t>
        </is>
      </c>
      <c r="E73" s="72" t="n">
        <v>48409</v>
      </c>
      <c r="F73" t="n">
        <v>4642485.53092613</v>
      </c>
      <c r="G73" t="n">
        <v>0.9496855513180609</v>
      </c>
      <c r="H73" t="n">
        <v>1.575674265265385</v>
      </c>
      <c r="I73" t="n">
        <v>-18237.50939707387</v>
      </c>
      <c r="J73" t="n">
        <v>-17319.89916642841</v>
      </c>
      <c r="K73" t="n">
        <v>4.642463371012501</v>
      </c>
      <c r="L73" t="n">
        <v>-80406.99746977385</v>
      </c>
      <c r="M73" t="inlineStr">
        <is>
          <t>jpy</t>
        </is>
      </c>
      <c r="N73" s="72" t="n">
        <v>48316</v>
      </c>
      <c r="O73" s="72" t="n">
        <v>48407</v>
      </c>
      <c r="P73" t="inlineStr">
        <is>
          <t>Act365f</t>
        </is>
      </c>
      <c r="Q73" t="n">
        <v>0.2493150684931507</v>
      </c>
      <c r="R73" t="n">
        <v>0</v>
      </c>
    </row>
    <row r="74">
      <c r="A74" t="inlineStr">
        <is>
          <t>CCS-001</t>
        </is>
      </c>
      <c r="B74" t="inlineStr">
        <is>
          <t>FloatPeriod</t>
        </is>
      </c>
      <c r="C74" t="inlineStr">
        <is>
          <t>Regular</t>
        </is>
      </c>
      <c r="D74" t="inlineStr">
        <is>
          <t>JPY</t>
        </is>
      </c>
      <c r="E74" s="72" t="n">
        <v>48501</v>
      </c>
      <c r="F74" t="n">
        <v>4642485.53092613</v>
      </c>
      <c r="G74" t="n">
        <v>0.9467900807820127</v>
      </c>
      <c r="H74" t="n">
        <v>1.615821897587128</v>
      </c>
      <c r="I74" t="n">
        <v>-18907.7134183389</v>
      </c>
      <c r="J74" t="n">
        <v>-17901.63551475223</v>
      </c>
      <c r="K74" t="n">
        <v>4.642463371012501</v>
      </c>
      <c r="L74" t="n">
        <v>-83107.68715845376</v>
      </c>
      <c r="M74" t="inlineStr">
        <is>
          <t>jpy</t>
        </is>
      </c>
      <c r="N74" s="72" t="n">
        <v>48407</v>
      </c>
      <c r="O74" s="72" t="n">
        <v>48499</v>
      </c>
      <c r="P74" t="inlineStr">
        <is>
          <t>Act365f</t>
        </is>
      </c>
      <c r="Q74" t="n">
        <v>0.252054794520548</v>
      </c>
      <c r="R74" t="n">
        <v>0</v>
      </c>
    </row>
    <row r="75">
      <c r="A75" t="inlineStr">
        <is>
          <t>CCS-001</t>
        </is>
      </c>
      <c r="B75" t="inlineStr">
        <is>
          <t>FloatPeriod</t>
        </is>
      </c>
      <c r="C75" t="inlineStr">
        <is>
          <t>Regular</t>
        </is>
      </c>
      <c r="D75" t="inlineStr">
        <is>
          <t>JPY</t>
        </is>
      </c>
      <c r="E75" s="72" t="n">
        <v>48593</v>
      </c>
      <c r="F75" t="n">
        <v>4642485.53092613</v>
      </c>
      <c r="G75" t="n">
        <v>0.9437483093110195</v>
      </c>
      <c r="H75" t="n">
        <v>1.675620057465463</v>
      </c>
      <c r="I75" t="n">
        <v>-19607.44800642187</v>
      </c>
      <c r="J75" t="n">
        <v>-18504.49590596436</v>
      </c>
      <c r="K75" t="n">
        <v>4.642463371012501</v>
      </c>
      <c r="L75" t="n">
        <v>-85906.44444249032</v>
      </c>
      <c r="M75" t="inlineStr">
        <is>
          <t>jpy</t>
        </is>
      </c>
      <c r="N75" s="72" t="n">
        <v>48499</v>
      </c>
      <c r="O75" s="72" t="n">
        <v>48591</v>
      </c>
      <c r="P75" t="inlineStr">
        <is>
          <t>Act365f</t>
        </is>
      </c>
      <c r="Q75" t="n">
        <v>0.252054794520548</v>
      </c>
      <c r="R75" t="n">
        <v>0</v>
      </c>
    </row>
    <row r="76">
      <c r="A76" t="inlineStr">
        <is>
          <t>CCS-001</t>
        </is>
      </c>
      <c r="B76" t="inlineStr">
        <is>
          <t>FloatPeriod</t>
        </is>
      </c>
      <c r="C76" t="inlineStr">
        <is>
          <t>Regular</t>
        </is>
      </c>
      <c r="D76" t="inlineStr">
        <is>
          <t>JPY</t>
        </is>
      </c>
      <c r="E76" s="72" t="n">
        <v>48683</v>
      </c>
      <c r="F76" t="n">
        <v>4642485.53092613</v>
      </c>
      <c r="G76" t="n">
        <v>0.9407024360680446</v>
      </c>
      <c r="H76" t="n">
        <v>1.709675807279299</v>
      </c>
      <c r="I76" t="n">
        <v>-19571.04295364859</v>
      </c>
      <c r="J76" t="n">
        <v>-18410.52778288957</v>
      </c>
      <c r="K76" t="n">
        <v>4.642463371012501</v>
      </c>
      <c r="L76" t="n">
        <v>-85470.2008730728</v>
      </c>
      <c r="M76" t="inlineStr">
        <is>
          <t>jpy</t>
        </is>
      </c>
      <c r="N76" s="72" t="n">
        <v>48591</v>
      </c>
      <c r="O76" s="72" t="n">
        <v>48681</v>
      </c>
      <c r="P76" t="inlineStr">
        <is>
          <t>Act365f</t>
        </is>
      </c>
      <c r="Q76" t="n">
        <v>0.2465753424657534</v>
      </c>
      <c r="R76" t="n">
        <v>0</v>
      </c>
    </row>
    <row r="77">
      <c r="A77" t="inlineStr">
        <is>
          <t>CCS-001</t>
        </is>
      </c>
      <c r="B77" t="inlineStr">
        <is>
          <t>FloatPeriod</t>
        </is>
      </c>
      <c r="C77" t="inlineStr">
        <is>
          <t>Regular</t>
        </is>
      </c>
      <c r="D77" t="inlineStr">
        <is>
          <t>JPY</t>
        </is>
      </c>
      <c r="E77" s="72" t="n">
        <v>48774</v>
      </c>
      <c r="F77" t="n">
        <v>4642485.53092613</v>
      </c>
      <c r="G77" t="n">
        <v>0.9375528565329103</v>
      </c>
      <c r="H77" t="n">
        <v>1.743665253811551</v>
      </c>
      <c r="I77" t="n">
        <v>-20181.9069796024</v>
      </c>
      <c r="J77" t="n">
        <v>-18921.60453900771</v>
      </c>
      <c r="K77" t="n">
        <v>4.642463371012501</v>
      </c>
      <c r="L77" t="n">
        <v>-87842.85599312717</v>
      </c>
      <c r="M77" t="inlineStr">
        <is>
          <t>jpy</t>
        </is>
      </c>
      <c r="N77" s="72" t="n">
        <v>48681</v>
      </c>
      <c r="O77" s="72" t="n">
        <v>48772</v>
      </c>
      <c r="P77" t="inlineStr">
        <is>
          <t>Act365f</t>
        </is>
      </c>
      <c r="Q77" t="n">
        <v>0.2493150684931507</v>
      </c>
      <c r="R77" t="n">
        <v>0</v>
      </c>
    </row>
    <row r="78">
      <c r="A78" t="inlineStr">
        <is>
          <t>CCS-001</t>
        </is>
      </c>
      <c r="B78" t="inlineStr">
        <is>
          <t>FloatPeriod</t>
        </is>
      </c>
      <c r="C78" t="inlineStr">
        <is>
          <t>Regular</t>
        </is>
      </c>
      <c r="D78" t="inlineStr">
        <is>
          <t>JPY</t>
        </is>
      </c>
      <c r="E78" s="72" t="n">
        <v>48866</v>
      </c>
      <c r="F78" t="n">
        <v>4642485.53092613</v>
      </c>
      <c r="G78" t="n">
        <v>0.9342655654464839</v>
      </c>
      <c r="H78" t="n">
        <v>1.786627510866023</v>
      </c>
      <c r="I78" t="n">
        <v>-20906.4136407728</v>
      </c>
      <c r="J78" t="n">
        <v>-19532.14236155469</v>
      </c>
      <c r="K78" t="n">
        <v>4.642463371012501</v>
      </c>
      <c r="L78" t="n">
        <v>-90677.25547091925</v>
      </c>
      <c r="M78" t="inlineStr">
        <is>
          <t>jpy</t>
        </is>
      </c>
      <c r="N78" s="72" t="n">
        <v>48772</v>
      </c>
      <c r="O78" s="72" t="n">
        <v>48864</v>
      </c>
      <c r="P78" t="inlineStr">
        <is>
          <t>Act365f</t>
        </is>
      </c>
      <c r="Q78" t="n">
        <v>0.252054794520548</v>
      </c>
      <c r="R78" t="n">
        <v>0</v>
      </c>
    </row>
    <row r="79">
      <c r="A79" t="inlineStr">
        <is>
          <t>CCS-001</t>
        </is>
      </c>
      <c r="B79" t="inlineStr">
        <is>
          <t>FloatPeriod</t>
        </is>
      </c>
      <c r="C79" t="inlineStr">
        <is>
          <t>Regular</t>
        </is>
      </c>
      <c r="D79" t="inlineStr">
        <is>
          <t>JPY</t>
        </is>
      </c>
      <c r="E79" s="72" t="n">
        <v>48960</v>
      </c>
      <c r="F79" t="n">
        <v>4642485.53092613</v>
      </c>
      <c r="G79" t="n">
        <v>0.9307685180062764</v>
      </c>
      <c r="H79" t="n">
        <v>1.848267142806394</v>
      </c>
      <c r="I79" t="n">
        <v>-21627.69641190048</v>
      </c>
      <c r="J79" t="n">
        <v>-20130.37893719427</v>
      </c>
      <c r="K79" t="n">
        <v>4.642463371012501</v>
      </c>
      <c r="L79" t="n">
        <v>-93454.54686052594</v>
      </c>
      <c r="M79" t="inlineStr">
        <is>
          <t>jpy</t>
        </is>
      </c>
      <c r="N79" s="72" t="n">
        <v>48864</v>
      </c>
      <c r="O79" s="72" t="n">
        <v>48956</v>
      </c>
      <c r="P79" t="inlineStr">
        <is>
          <t>Act365f</t>
        </is>
      </c>
      <c r="Q79" t="n">
        <v>0.252054794520548</v>
      </c>
      <c r="R79" t="n">
        <v>0</v>
      </c>
    </row>
    <row r="80">
      <c r="A80" t="inlineStr">
        <is>
          <t>CCS-001</t>
        </is>
      </c>
      <c r="B80" t="inlineStr">
        <is>
          <t>FloatPeriod</t>
        </is>
      </c>
      <c r="C80" t="inlineStr">
        <is>
          <t>Regular</t>
        </is>
      </c>
      <c r="D80" t="inlineStr">
        <is>
          <t>JPY</t>
        </is>
      </c>
      <c r="E80" s="72" t="n">
        <v>49048</v>
      </c>
      <c r="F80" t="n">
        <v>4642485.53092613</v>
      </c>
      <c r="G80" t="n">
        <v>0.9274242787489623</v>
      </c>
      <c r="H80" t="n">
        <v>1.88444342054097</v>
      </c>
      <c r="I80" t="n">
        <v>-21571.64707490235</v>
      </c>
      <c r="J80" t="n">
        <v>-20006.06922986847</v>
      </c>
      <c r="K80" t="n">
        <v>4.642463371012501</v>
      </c>
      <c r="L80" t="n">
        <v>-92877.44359760467</v>
      </c>
      <c r="M80" t="inlineStr">
        <is>
          <t>jpy</t>
        </is>
      </c>
      <c r="N80" s="72" t="n">
        <v>48956</v>
      </c>
      <c r="O80" s="72" t="n">
        <v>49046</v>
      </c>
      <c r="P80" t="inlineStr">
        <is>
          <t>Act365f</t>
        </is>
      </c>
      <c r="Q80" t="n">
        <v>0.2465753424657534</v>
      </c>
      <c r="R80" t="n">
        <v>0</v>
      </c>
    </row>
    <row r="81">
      <c r="A81" t="inlineStr">
        <is>
          <t>CCS-001</t>
        </is>
      </c>
      <c r="B81" t="inlineStr">
        <is>
          <t>FloatPeriod</t>
        </is>
      </c>
      <c r="C81" t="inlineStr">
        <is>
          <t>Regular</t>
        </is>
      </c>
      <c r="D81" t="inlineStr">
        <is>
          <t>JPY</t>
        </is>
      </c>
      <c r="E81" s="72" t="n">
        <v>49139</v>
      </c>
      <c r="F81" t="n">
        <v>4642485.53092613</v>
      </c>
      <c r="G81" t="n">
        <v>0.9238953122872581</v>
      </c>
      <c r="H81" t="n">
        <v>1.920567507040834</v>
      </c>
      <c r="I81" t="n">
        <v>-22229.44724649201</v>
      </c>
      <c r="J81" t="n">
        <v>-20537.68210577086</v>
      </c>
      <c r="K81" t="n">
        <v>4.642463371012501</v>
      </c>
      <c r="L81" t="n">
        <v>-95345.43690154012</v>
      </c>
      <c r="M81" t="inlineStr">
        <is>
          <t>jpy</t>
        </is>
      </c>
      <c r="N81" s="72" t="n">
        <v>49046</v>
      </c>
      <c r="O81" s="72" t="n">
        <v>49137</v>
      </c>
      <c r="P81" t="inlineStr">
        <is>
          <t>Act365f</t>
        </is>
      </c>
      <c r="Q81" t="n">
        <v>0.2493150684931507</v>
      </c>
      <c r="R81" t="n">
        <v>0</v>
      </c>
    </row>
    <row r="82">
      <c r="A82" t="inlineStr">
        <is>
          <t>CCS-001</t>
        </is>
      </c>
      <c r="B82" t="inlineStr">
        <is>
          <t>FloatPeriod</t>
        </is>
      </c>
      <c r="C82" t="inlineStr">
        <is>
          <t>Regular</t>
        </is>
      </c>
      <c r="D82" t="inlineStr">
        <is>
          <t>JPY</t>
        </is>
      </c>
      <c r="E82" s="72" t="n">
        <v>49233</v>
      </c>
      <c r="F82" t="n">
        <v>4642485.53092613</v>
      </c>
      <c r="G82" t="n">
        <v>0.9201396153531027</v>
      </c>
      <c r="H82" t="n">
        <v>1.967551222426412</v>
      </c>
      <c r="I82" t="n">
        <v>-23023.51187658352</v>
      </c>
      <c r="J82" t="n">
        <v>-21184.84536219715</v>
      </c>
      <c r="K82" t="n">
        <v>4.642463371012501</v>
      </c>
      <c r="L82" t="n">
        <v>-98349.86861456434</v>
      </c>
      <c r="M82" t="inlineStr">
        <is>
          <t>jpy</t>
        </is>
      </c>
      <c r="N82" s="72" t="n">
        <v>49137</v>
      </c>
      <c r="O82" s="72" t="n">
        <v>49229</v>
      </c>
      <c r="P82" t="inlineStr">
        <is>
          <t>Act365f</t>
        </is>
      </c>
      <c r="Q82" t="n">
        <v>0.252054794520548</v>
      </c>
      <c r="R82" t="n">
        <v>0</v>
      </c>
    </row>
    <row r="83">
      <c r="A83" t="inlineStr">
        <is>
          <t>CCS-001</t>
        </is>
      </c>
      <c r="B83" t="inlineStr">
        <is>
          <t>FloatPeriod</t>
        </is>
      </c>
      <c r="C83" t="inlineStr">
        <is>
          <t>Regular</t>
        </is>
      </c>
      <c r="D83" t="inlineStr">
        <is>
          <t>JPY</t>
        </is>
      </c>
      <c r="E83" s="72" t="n">
        <v>49325</v>
      </c>
      <c r="F83" t="n">
        <v>4642485.53092613</v>
      </c>
      <c r="G83" t="n">
        <v>0.91632641381599</v>
      </c>
      <c r="H83" t="n">
        <v>2.037052709645364</v>
      </c>
      <c r="I83" t="n">
        <v>-23836.7909913465</v>
      </c>
      <c r="J83" t="n">
        <v>-21842.28120598184</v>
      </c>
      <c r="K83" t="n">
        <v>4.642463371012501</v>
      </c>
      <c r="L83" t="n">
        <v>-101401.9904381254</v>
      </c>
      <c r="M83" t="inlineStr">
        <is>
          <t>jpy</t>
        </is>
      </c>
      <c r="N83" s="72" t="n">
        <v>49229</v>
      </c>
      <c r="O83" s="72" t="n">
        <v>49321</v>
      </c>
      <c r="P83" t="inlineStr">
        <is>
          <t>Act365f</t>
        </is>
      </c>
      <c r="Q83" t="n">
        <v>0.252054794520548</v>
      </c>
      <c r="R83" t="n">
        <v>0</v>
      </c>
    </row>
    <row r="84">
      <c r="A84" t="inlineStr">
        <is>
          <t>CCS-001</t>
        </is>
      </c>
      <c r="B84" t="inlineStr">
        <is>
          <t>FloatPeriod</t>
        </is>
      </c>
      <c r="C84" t="inlineStr">
        <is>
          <t>Regular</t>
        </is>
      </c>
      <c r="D84" t="inlineStr">
        <is>
          <t>JPY</t>
        </is>
      </c>
      <c r="E84" s="72" t="n">
        <v>49415</v>
      </c>
      <c r="F84" t="n">
        <v>4642485.53092613</v>
      </c>
      <c r="G84" t="n">
        <v>0.9125234536286393</v>
      </c>
      <c r="H84" t="n">
        <v>2.075523973088837</v>
      </c>
      <c r="I84" t="n">
        <v>-23758.98907599922</v>
      </c>
      <c r="J84" t="n">
        <v>-21680.63476635592</v>
      </c>
      <c r="K84" t="n">
        <v>4.642463371012501</v>
      </c>
      <c r="L84" t="n">
        <v>-100651.5527631076</v>
      </c>
      <c r="M84" t="inlineStr">
        <is>
          <t>jpy</t>
        </is>
      </c>
      <c r="N84" s="72" t="n">
        <v>49321</v>
      </c>
      <c r="O84" s="72" t="n">
        <v>49411</v>
      </c>
      <c r="P84" t="inlineStr">
        <is>
          <t>Act365f</t>
        </is>
      </c>
      <c r="Q84" t="n">
        <v>0.2465753424657534</v>
      </c>
      <c r="R84" t="n">
        <v>0</v>
      </c>
    </row>
    <row r="85">
      <c r="A85" t="inlineStr">
        <is>
          <t>CCS-001</t>
        </is>
      </c>
      <c r="B85" t="inlineStr">
        <is>
          <t>FloatPeriod</t>
        </is>
      </c>
      <c r="C85" t="inlineStr">
        <is>
          <t>Regular</t>
        </is>
      </c>
      <c r="D85" t="inlineStr">
        <is>
          <t>JPY</t>
        </is>
      </c>
      <c r="E85" s="72" t="n">
        <v>49507</v>
      </c>
      <c r="F85" t="n">
        <v>4642485.53092613</v>
      </c>
      <c r="G85" t="n">
        <v>0.9085627858742455</v>
      </c>
      <c r="H85" t="n">
        <v>2.113961452359528</v>
      </c>
      <c r="I85" t="n">
        <v>-24467.86921785856</v>
      </c>
      <c r="J85" t="n">
        <v>-22230.59542098427</v>
      </c>
      <c r="K85" t="n">
        <v>4.642463371012501</v>
      </c>
      <c r="L85" t="n">
        <v>-103204.7249577177</v>
      </c>
      <c r="M85" t="inlineStr">
        <is>
          <t>jpy</t>
        </is>
      </c>
      <c r="N85" s="72" t="n">
        <v>49411</v>
      </c>
      <c r="O85" s="72" t="n">
        <v>49502</v>
      </c>
      <c r="P85" t="inlineStr">
        <is>
          <t>Act365f</t>
        </is>
      </c>
      <c r="Q85" t="n">
        <v>0.2493150684931507</v>
      </c>
      <c r="R85" t="n">
        <v>0</v>
      </c>
    </row>
    <row r="86">
      <c r="A86" t="inlineStr">
        <is>
          <t>CCS-001</t>
        </is>
      </c>
      <c r="B86" t="inlineStr">
        <is>
          <t>FloatPeriod</t>
        </is>
      </c>
      <c r="C86" t="inlineStr">
        <is>
          <t>Regular</t>
        </is>
      </c>
      <c r="D86" t="inlineStr">
        <is>
          <t>JPY</t>
        </is>
      </c>
      <c r="E86" s="72" t="n">
        <v>49598</v>
      </c>
      <c r="F86" t="n">
        <v>4642485.53092613</v>
      </c>
      <c r="G86" t="n">
        <v>0.9045146250941745</v>
      </c>
      <c r="H86" t="n">
        <v>2.171153958328015</v>
      </c>
      <c r="I86" t="n">
        <v>-25405.99115067051</v>
      </c>
      <c r="J86" t="n">
        <v>-22980.09056079465</v>
      </c>
      <c r="K86" t="n">
        <v>4.642463371012501</v>
      </c>
      <c r="L86" t="n">
        <v>-106684.2286910393</v>
      </c>
      <c r="M86" t="inlineStr">
        <is>
          <t>jpy</t>
        </is>
      </c>
      <c r="N86" s="72" t="n">
        <v>49502</v>
      </c>
      <c r="O86" s="72" t="n">
        <v>49594</v>
      </c>
      <c r="P86" t="inlineStr">
        <is>
          <t>Act365f</t>
        </is>
      </c>
      <c r="Q86" t="n">
        <v>0.252054794520548</v>
      </c>
      <c r="R86" t="n">
        <v>0</v>
      </c>
    </row>
    <row r="87">
      <c r="A87" t="inlineStr">
        <is>
          <t>CCS-001</t>
        </is>
      </c>
      <c r="B87" t="inlineStr">
        <is>
          <t>Cashflow</t>
        </is>
      </c>
      <c r="C87" t="inlineStr">
        <is>
          <t>Exchange</t>
        </is>
      </c>
      <c r="D87" t="inlineStr">
        <is>
          <t>JPY</t>
        </is>
      </c>
      <c r="E87" s="72" t="n">
        <v>49594</v>
      </c>
      <c r="F87" t="n">
        <v>4642485.53092613</v>
      </c>
      <c r="G87" t="n">
        <v>0.9046984307170443</v>
      </c>
      <c r="H87" t="n">
        <v/>
      </c>
      <c r="I87" t="n">
        <v>-4642485.53092613</v>
      </c>
      <c r="J87" t="n">
        <v>-4200049.374455454</v>
      </c>
      <c r="K87" t="n">
        <v>4.642463371012501</v>
      </c>
      <c r="L87" t="n">
        <v>-19498575.37735341</v>
      </c>
      <c r="M87" t="inlineStr">
        <is>
          <t>jpy</t>
        </is>
      </c>
      <c r="N87" s="72" t="n"/>
      <c r="O87" s="72" t="n"/>
      <c r="P87" t="n">
        <v/>
      </c>
      <c r="Q87" t="n">
        <v/>
      </c>
      <c r="R87" t="n">
        <v/>
      </c>
    </row>
    <row r="88">
      <c r="E88" s="72" t="n"/>
      <c r="N88" s="72" t="n"/>
      <c r="O88" s="72" t="n"/>
    </row>
    <row r="89">
      <c r="E89" s="72" t="n"/>
      <c r="N89" s="72" t="n"/>
      <c r="O89" s="72" t="n"/>
    </row>
    <row r="90">
      <c r="E90" s="72" t="n"/>
      <c r="N90" s="72" t="n"/>
      <c r="O90" s="72" t="n"/>
    </row>
    <row r="91">
      <c r="E91" s="72" t="n"/>
      <c r="N91" s="72" t="n"/>
      <c r="O91" s="72" t="n"/>
    </row>
    <row r="92">
      <c r="E92" s="72" t="n"/>
      <c r="N92" s="72" t="n"/>
      <c r="O92" s="72" t="n"/>
    </row>
    <row r="93">
      <c r="E93" s="72" t="n"/>
      <c r="N93" s="72" t="n"/>
      <c r="O93" s="72" t="n"/>
    </row>
    <row r="94">
      <c r="E94" s="72" t="n"/>
      <c r="N94" s="72" t="n"/>
      <c r="O94" s="72" t="n"/>
    </row>
    <row r="95">
      <c r="E95" s="72" t="n"/>
      <c r="N95" s="72" t="n"/>
      <c r="O95" s="72" t="n"/>
    </row>
    <row r="96">
      <c r="E96" s="72" t="n"/>
      <c r="N96" s="72" t="n"/>
      <c r="O96" s="72" t="n"/>
    </row>
    <row r="97">
      <c r="E97" s="72" t="n"/>
      <c r="N97" s="72" t="n"/>
      <c r="O97" s="72" t="n"/>
    </row>
    <row r="98">
      <c r="E98" s="72" t="n"/>
      <c r="N98" s="72" t="n"/>
      <c r="O98" s="72" t="n"/>
    </row>
    <row r="99">
      <c r="E99" s="72" t="n"/>
      <c r="N99" s="72" t="n"/>
      <c r="O99" s="72" t="n"/>
    </row>
    <row r="100">
      <c r="E100" s="72" t="n"/>
      <c r="N100" s="72" t="n"/>
      <c r="O100" s="72" t="n"/>
    </row>
    <row r="101">
      <c r="E101" s="72" t="n"/>
      <c r="N101" s="72" t="n"/>
      <c r="O101" s="72" t="n"/>
    </row>
    <row r="102">
      <c r="E102" s="72" t="n"/>
      <c r="N102" s="72" t="n"/>
      <c r="O102" s="72" t="n"/>
    </row>
    <row r="103">
      <c r="E103" s="72" t="n"/>
      <c r="N103" s="72" t="n"/>
      <c r="O103" s="72" t="n"/>
    </row>
    <row r="104">
      <c r="E104" s="72" t="n"/>
      <c r="N104" s="72" t="n"/>
      <c r="O104" s="72" t="n"/>
    </row>
    <row r="105">
      <c r="E105" s="72" t="n"/>
      <c r="N105" s="72" t="n"/>
      <c r="O105" s="72" t="n"/>
    </row>
    <row r="106">
      <c r="E106" s="72" t="n"/>
      <c r="N106" s="72" t="n"/>
      <c r="O106" s="72" t="n"/>
    </row>
    <row r="107">
      <c r="E107" s="72" t="n"/>
      <c r="N107" s="72" t="n"/>
      <c r="O107" s="72" t="n"/>
    </row>
    <row r="108">
      <c r="E108" s="72" t="n"/>
      <c r="N108" s="72" t="n"/>
      <c r="O108" s="72" t="n"/>
    </row>
    <row r="109">
      <c r="E109" s="72" t="n"/>
      <c r="N109" s="72" t="n"/>
      <c r="O109" s="72" t="n"/>
    </row>
    <row r="110">
      <c r="E110" s="72" t="n"/>
      <c r="N110" s="72" t="n"/>
      <c r="O110" s="72" t="n"/>
    </row>
    <row r="111">
      <c r="E111" s="72" t="n"/>
      <c r="N111" s="72" t="n"/>
      <c r="O111" s="72" t="n"/>
    </row>
    <row r="112">
      <c r="E112" s="72" t="n"/>
      <c r="N112" s="72" t="n"/>
      <c r="O112" s="72" t="n"/>
    </row>
    <row r="113">
      <c r="E113" s="72" t="n"/>
      <c r="N113" s="72" t="n"/>
      <c r="O113" s="72" t="n"/>
    </row>
    <row r="114">
      <c r="E114" s="72" t="n"/>
      <c r="N114" s="72" t="n"/>
      <c r="O114" s="72" t="n"/>
    </row>
    <row r="115">
      <c r="E115" s="72" t="n"/>
      <c r="N115" s="72" t="n"/>
      <c r="O115" s="72" t="n"/>
    </row>
    <row r="116">
      <c r="E116" s="72" t="n"/>
      <c r="N116" s="72" t="n"/>
      <c r="O116" s="72" t="n"/>
    </row>
    <row r="117">
      <c r="E117" s="72" t="n"/>
      <c r="N117" s="72" t="n"/>
      <c r="O117" s="72" t="n"/>
    </row>
    <row r="118">
      <c r="E118" s="72" t="n"/>
      <c r="N118" s="72" t="n"/>
      <c r="O118" s="72" t="n"/>
    </row>
    <row r="119">
      <c r="E119" s="72" t="n"/>
      <c r="N119" s="72" t="n"/>
      <c r="O119" s="72" t="n"/>
    </row>
    <row r="120">
      <c r="E120" s="72" t="n"/>
      <c r="N120" s="72" t="n"/>
      <c r="O120" s="72" t="n"/>
    </row>
    <row r="121">
      <c r="E121" s="72" t="n"/>
      <c r="N121" s="72" t="n"/>
      <c r="O121" s="72" t="n"/>
    </row>
    <row r="122">
      <c r="E122" s="72" t="n"/>
      <c r="N122" s="72" t="n"/>
      <c r="O122" s="72" t="n"/>
    </row>
    <row r="123">
      <c r="E123" s="72" t="n"/>
      <c r="N123" s="72" t="n"/>
      <c r="O123" s="72" t="n"/>
    </row>
    <row r="124">
      <c r="E124" s="72" t="n"/>
      <c r="N124" s="72" t="n"/>
      <c r="O124" s="72" t="n"/>
    </row>
    <row r="125">
      <c r="E125" s="72" t="n"/>
      <c r="N125" s="72" t="n"/>
      <c r="O125" s="72" t="n"/>
    </row>
    <row r="126">
      <c r="E126" s="72" t="n"/>
      <c r="N126" s="72" t="n"/>
      <c r="O126" s="72" t="n"/>
    </row>
    <row r="127">
      <c r="E127" s="72" t="n"/>
      <c r="N127" s="72" t="n"/>
      <c r="O127" s="72" t="n"/>
    </row>
    <row r="128">
      <c r="E128" s="72" t="n"/>
      <c r="N128" s="72" t="n"/>
      <c r="O128" s="72" t="n"/>
    </row>
    <row r="129">
      <c r="E129" s="72" t="n"/>
      <c r="N129" s="72" t="n"/>
      <c r="O129" s="72" t="n"/>
    </row>
    <row r="130">
      <c r="E130" s="72" t="n"/>
      <c r="N130" s="72" t="n"/>
      <c r="O130" s="72" t="n"/>
    </row>
    <row r="131">
      <c r="E131" s="72" t="n"/>
      <c r="N131" s="72" t="n"/>
      <c r="O131" s="72" t="n"/>
    </row>
    <row r="132">
      <c r="E132" s="72" t="n"/>
      <c r="N132" s="72" t="n"/>
      <c r="O132" s="72" t="n"/>
    </row>
    <row r="133">
      <c r="E133" s="72" t="n"/>
      <c r="N133" s="72" t="n"/>
      <c r="O133" s="72" t="n"/>
    </row>
    <row r="134">
      <c r="E134" s="72" t="n"/>
      <c r="N134" s="72" t="n"/>
      <c r="O134" s="72" t="n"/>
    </row>
    <row r="135">
      <c r="E135" s="72" t="n"/>
      <c r="N135" s="72" t="n"/>
      <c r="O135" s="72" t="n"/>
    </row>
    <row r="136">
      <c r="E136" s="72" t="n"/>
      <c r="N136" s="72" t="n"/>
      <c r="O136" s="72" t="n"/>
    </row>
    <row r="137">
      <c r="E137" s="72" t="n"/>
      <c r="N137" s="72" t="n"/>
      <c r="O137" s="72" t="n"/>
    </row>
    <row r="138">
      <c r="E138" s="72" t="n"/>
      <c r="N138" s="72" t="n"/>
      <c r="O138" s="72" t="n"/>
    </row>
    <row r="139">
      <c r="E139" s="72" t="n"/>
      <c r="N139" s="72" t="n"/>
      <c r="O139" s="72" t="n"/>
    </row>
    <row r="140">
      <c r="E140" s="72" t="n"/>
      <c r="N140" s="72" t="n"/>
      <c r="O140" s="72" t="n"/>
    </row>
    <row r="141">
      <c r="E141" s="72" t="n"/>
      <c r="N141" s="72" t="n"/>
      <c r="O141" s="72" t="n"/>
    </row>
    <row r="142">
      <c r="E142" s="72" t="n"/>
      <c r="N142" s="72" t="n"/>
      <c r="O142" s="72" t="n"/>
    </row>
    <row r="143">
      <c r="E143" s="72" t="n"/>
      <c r="N143" s="72" t="n"/>
      <c r="O143" s="72" t="n"/>
    </row>
    <row r="144">
      <c r="E144" s="72" t="n"/>
      <c r="N144" s="72" t="n"/>
      <c r="O144" s="72" t="n"/>
    </row>
    <row r="145">
      <c r="E145" s="72" t="n"/>
      <c r="N145" s="72" t="n"/>
      <c r="O145" s="72" t="n"/>
    </row>
    <row r="146">
      <c r="E146" s="72" t="n"/>
      <c r="N146" s="72" t="n"/>
      <c r="O146" s="72" t="n"/>
    </row>
    <row r="147">
      <c r="E147" s="72" t="n"/>
      <c r="N147" s="72" t="n"/>
      <c r="O147" s="72" t="n"/>
    </row>
    <row r="148">
      <c r="E148" s="72" t="n"/>
      <c r="N148" s="72" t="n"/>
      <c r="O148" s="72" t="n"/>
    </row>
    <row r="149">
      <c r="E149" s="72" t="n"/>
      <c r="N149" s="72" t="n"/>
      <c r="O149" s="72" t="n"/>
    </row>
    <row r="150">
      <c r="E150" s="72" t="n"/>
      <c r="N150" s="72" t="n"/>
      <c r="O150" s="72" t="n"/>
    </row>
    <row r="151">
      <c r="E151" s="72" t="n"/>
      <c r="N151" s="72" t="n"/>
      <c r="O151" s="72" t="n"/>
    </row>
    <row r="152">
      <c r="E152" s="72" t="n"/>
      <c r="N152" s="72" t="n"/>
      <c r="O152" s="72" t="n"/>
    </row>
    <row r="153">
      <c r="E153" s="72" t="n"/>
      <c r="N153" s="72" t="n"/>
      <c r="O153" s="72" t="n"/>
    </row>
    <row r="154">
      <c r="E154" s="72" t="n"/>
      <c r="N154" s="72" t="n"/>
      <c r="O154" s="72" t="n"/>
    </row>
    <row r="155">
      <c r="E155" s="72" t="n"/>
      <c r="N155" s="72" t="n"/>
      <c r="O155" s="72" t="n"/>
    </row>
    <row r="156">
      <c r="E156" s="72" t="n"/>
      <c r="N156" s="72" t="n"/>
      <c r="O156" s="72" t="n"/>
    </row>
    <row r="157">
      <c r="E157" s="72" t="n"/>
      <c r="N157" s="72" t="n"/>
      <c r="O157" s="72" t="n"/>
    </row>
    <row r="158">
      <c r="E158" s="72" t="n"/>
      <c r="N158" s="72" t="n"/>
      <c r="O158" s="72" t="n"/>
    </row>
    <row r="159">
      <c r="E159" s="72" t="n"/>
      <c r="N159" s="72" t="n"/>
      <c r="O159" s="72" t="n"/>
    </row>
    <row r="160">
      <c r="E160" s="72" t="n"/>
      <c r="N160" s="72" t="n"/>
      <c r="O160" s="72" t="n"/>
    </row>
    <row r="161">
      <c r="E161" s="72" t="n"/>
      <c r="N161" s="72" t="n"/>
      <c r="O161" s="72" t="n"/>
    </row>
    <row r="162">
      <c r="E162" s="72" t="n"/>
      <c r="N162" s="72" t="n"/>
      <c r="O162" s="72" t="n"/>
    </row>
    <row r="163">
      <c r="E163" s="72" t="n"/>
      <c r="N163" s="72" t="n"/>
      <c r="O163" s="72" t="n"/>
    </row>
    <row r="164">
      <c r="E164" s="72" t="n"/>
      <c r="N164" s="72" t="n"/>
      <c r="O164" s="72" t="n"/>
    </row>
    <row r="165">
      <c r="E165" s="72" t="n"/>
      <c r="N165" s="72" t="n"/>
      <c r="O165" s="72" t="n"/>
    </row>
    <row r="166">
      <c r="E166" s="72" t="n"/>
      <c r="N166" s="72" t="n"/>
      <c r="O166" s="72" t="n"/>
    </row>
    <row r="167">
      <c r="E167" s="72" t="n"/>
      <c r="N167" s="72" t="n"/>
      <c r="O167" s="72" t="n"/>
    </row>
    <row r="168">
      <c r="E168" s="72" t="n"/>
      <c r="N168" s="72" t="n"/>
      <c r="O168" s="72" t="n"/>
    </row>
    <row r="169">
      <c r="E169" s="72" t="n"/>
      <c r="N169" s="72" t="n"/>
      <c r="O169" s="72" t="n"/>
    </row>
    <row r="170">
      <c r="E170" s="72" t="n"/>
      <c r="N170" s="72" t="n"/>
      <c r="O170" s="72" t="n"/>
    </row>
    <row r="171">
      <c r="E171" s="72" t="n"/>
      <c r="N171" s="72" t="n"/>
      <c r="O171" s="72" t="n"/>
    </row>
    <row r="172">
      <c r="E172" s="72" t="n"/>
      <c r="N172" s="72" t="n"/>
      <c r="O172" s="72" t="n"/>
    </row>
    <row r="173">
      <c r="E173" s="72" t="n"/>
      <c r="N173" s="72" t="n"/>
      <c r="O173" s="72" t="n"/>
    </row>
    <row r="174">
      <c r="E174" s="72" t="n"/>
      <c r="N174" s="72" t="n"/>
      <c r="O174" s="72" t="n"/>
    </row>
    <row r="175">
      <c r="E175" s="72" t="n"/>
      <c r="N175" s="72" t="n"/>
      <c r="O175" s="72" t="n"/>
    </row>
    <row r="176">
      <c r="E176" s="72" t="n"/>
      <c r="N176" s="72" t="n"/>
      <c r="O176" s="72" t="n"/>
    </row>
    <row r="177">
      <c r="E177" s="72" t="n"/>
      <c r="N177" s="72" t="n"/>
      <c r="O177" s="72" t="n"/>
    </row>
    <row r="178">
      <c r="E178" s="72" t="n"/>
      <c r="N178" s="72" t="n"/>
      <c r="O178" s="72" t="n"/>
    </row>
    <row r="179">
      <c r="E179" s="72" t="n"/>
      <c r="N179" s="72" t="n"/>
      <c r="O179" s="72" t="n"/>
    </row>
    <row r="180">
      <c r="E180" s="72" t="n"/>
      <c r="N180" s="72" t="n"/>
      <c r="O180" s="72" t="n"/>
    </row>
    <row r="181">
      <c r="E181" s="72" t="n"/>
      <c r="N181" s="72" t="n"/>
      <c r="O181" s="72" t="n"/>
    </row>
    <row r="182">
      <c r="E182" s="72" t="n"/>
      <c r="N182" s="72" t="n"/>
      <c r="O182" s="72" t="n"/>
    </row>
    <row r="183">
      <c r="E183" s="72" t="n"/>
      <c r="N183" s="72" t="n"/>
      <c r="O183" s="72" t="n"/>
    </row>
    <row r="184">
      <c r="E184" s="72" t="n"/>
      <c r="N184" s="72" t="n"/>
      <c r="O184" s="72" t="n"/>
    </row>
    <row r="185">
      <c r="E185" s="72" t="n"/>
      <c r="N185" s="72" t="n"/>
      <c r="O185" s="72" t="n"/>
    </row>
    <row r="186">
      <c r="E186" s="72" t="n"/>
      <c r="N186" s="72" t="n"/>
      <c r="O186" s="72" t="n"/>
    </row>
    <row r="187">
      <c r="E187" s="72" t="n"/>
      <c r="N187" s="72" t="n"/>
      <c r="O187" s="72" t="n"/>
    </row>
    <row r="188">
      <c r="E188" s="72" t="n"/>
      <c r="N188" s="72" t="n"/>
      <c r="O188" s="72" t="n"/>
    </row>
    <row r="189">
      <c r="E189" s="72" t="n"/>
      <c r="N189" s="72" t="n"/>
      <c r="O189" s="72" t="n"/>
    </row>
    <row r="190">
      <c r="E190" s="72" t="n"/>
      <c r="N190" s="72" t="n"/>
      <c r="O190" s="72" t="n"/>
    </row>
    <row r="191">
      <c r="E191" s="72" t="n"/>
      <c r="N191" s="72" t="n"/>
      <c r="O191" s="72" t="n"/>
    </row>
    <row r="192">
      <c r="E192" s="72" t="n"/>
      <c r="N192" s="72" t="n"/>
      <c r="O192" s="72" t="n"/>
    </row>
    <row r="193">
      <c r="E193" s="72" t="n"/>
      <c r="N193" s="72" t="n"/>
      <c r="O193" s="72" t="n"/>
    </row>
    <row r="194">
      <c r="E194" s="72" t="n"/>
      <c r="N194" s="72" t="n"/>
      <c r="O194" s="72" t="n"/>
    </row>
    <row r="195">
      <c r="E195" s="72" t="n"/>
      <c r="N195" s="72" t="n"/>
      <c r="O195" s="72" t="n"/>
    </row>
    <row r="196">
      <c r="E196" s="72" t="n"/>
      <c r="N196" s="72" t="n"/>
      <c r="O196" s="72" t="n"/>
    </row>
    <row r="197">
      <c r="E197" s="72" t="n"/>
      <c r="N197" s="72" t="n"/>
      <c r="O197" s="72" t="n"/>
    </row>
    <row r="198">
      <c r="E198" s="72" t="n"/>
      <c r="N198" s="72" t="n"/>
      <c r="O198" s="72" t="n"/>
    </row>
    <row r="199">
      <c r="E199" s="72" t="n"/>
      <c r="N199" s="72" t="n"/>
      <c r="O199" s="72" t="n"/>
    </row>
    <row r="200">
      <c r="E200" s="72" t="n"/>
      <c r="N200" s="72" t="n"/>
      <c r="O200" s="72" t="n"/>
    </row>
    <row r="201">
      <c r="E201" s="72" t="n"/>
      <c r="N201" s="72" t="n"/>
      <c r="O201" s="72" t="n"/>
    </row>
    <row r="202">
      <c r="E202" s="72" t="n"/>
      <c r="N202" s="72" t="n"/>
      <c r="O202" s="72" t="n"/>
    </row>
    <row r="203">
      <c r="E203" s="72" t="n"/>
      <c r="N203" s="72" t="n"/>
      <c r="O203" s="72" t="n"/>
    </row>
    <row r="204">
      <c r="E204" s="72" t="n"/>
      <c r="N204" s="72" t="n"/>
      <c r="O204" s="72" t="n"/>
    </row>
    <row r="205">
      <c r="E205" s="72" t="n"/>
      <c r="N205" s="72" t="n"/>
      <c r="O205" s="72" t="n"/>
    </row>
    <row r="206">
      <c r="E206" s="72" t="n"/>
      <c r="N206" s="72" t="n"/>
      <c r="O206" s="72" t="n"/>
    </row>
    <row r="207">
      <c r="E207" s="72" t="n"/>
      <c r="N207" s="72" t="n"/>
      <c r="O207" s="72" t="n"/>
    </row>
    <row r="208">
      <c r="E208" s="72" t="n"/>
      <c r="N208" s="72" t="n"/>
      <c r="O208" s="72" t="n"/>
    </row>
    <row r="209">
      <c r="E209" s="72" t="n"/>
      <c r="N209" s="72" t="n"/>
      <c r="O209" s="72" t="n"/>
    </row>
    <row r="210">
      <c r="E210" s="72" t="n"/>
      <c r="N210" s="72" t="n"/>
      <c r="O210" s="72" t="n"/>
    </row>
    <row r="211">
      <c r="E211" s="72" t="n"/>
      <c r="N211" s="72" t="n"/>
      <c r="O211" s="72" t="n"/>
    </row>
    <row r="212">
      <c r="E212" s="72" t="n"/>
      <c r="N212" s="72" t="n"/>
      <c r="O212" s="72" t="n"/>
    </row>
    <row r="213">
      <c r="E213" s="72" t="n"/>
      <c r="N213" s="72" t="n"/>
      <c r="O213" s="72" t="n"/>
    </row>
    <row r="214">
      <c r="E214" s="72" t="n"/>
      <c r="N214" s="72" t="n"/>
      <c r="O214" s="72" t="n"/>
    </row>
    <row r="215">
      <c r="E215" s="72" t="n"/>
      <c r="N215" s="72" t="n"/>
      <c r="O215" s="72" t="n"/>
    </row>
    <row r="216">
      <c r="E216" s="72" t="n"/>
      <c r="N216" s="72" t="n"/>
      <c r="O216" s="72" t="n"/>
    </row>
    <row r="217">
      <c r="E217" s="72" t="n"/>
      <c r="N217" s="72" t="n"/>
      <c r="O217" s="72" t="n"/>
    </row>
    <row r="218">
      <c r="E218" s="72" t="n"/>
      <c r="N218" s="72" t="n"/>
      <c r="O218" s="72" t="n"/>
    </row>
    <row r="219">
      <c r="E219" s="72" t="n"/>
      <c r="N219" s="72" t="n"/>
      <c r="O219" s="72" t="n"/>
    </row>
    <row r="220">
      <c r="E220" s="72" t="n"/>
      <c r="N220" s="72" t="n"/>
      <c r="O220" s="72" t="n"/>
    </row>
    <row r="221">
      <c r="E221" s="72" t="n"/>
      <c r="N221" s="72" t="n"/>
      <c r="O221" s="72" t="n"/>
    </row>
    <row r="222">
      <c r="E222" s="72" t="n"/>
      <c r="N222" s="72" t="n"/>
      <c r="O222" s="72" t="n"/>
    </row>
    <row r="223">
      <c r="E223" s="72" t="n"/>
      <c r="N223" s="72" t="n"/>
      <c r="O223" s="72" t="n"/>
    </row>
    <row r="224">
      <c r="E224" s="72" t="n"/>
      <c r="N224" s="72" t="n"/>
      <c r="O224" s="72" t="n"/>
    </row>
    <row r="225">
      <c r="E225" s="72" t="n"/>
      <c r="N225" s="72" t="n"/>
      <c r="O225" s="72" t="n"/>
    </row>
    <row r="226">
      <c r="E226" s="72" t="n"/>
      <c r="N226" s="72" t="n"/>
      <c r="O226" s="72" t="n"/>
    </row>
    <row r="227">
      <c r="E227" s="72" t="n"/>
      <c r="N227" s="72" t="n"/>
      <c r="O227" s="72" t="n"/>
    </row>
    <row r="228">
      <c r="E228" s="72" t="n"/>
      <c r="N228" s="72" t="n"/>
      <c r="O228" s="72" t="n"/>
    </row>
    <row r="229">
      <c r="E229" s="72" t="n"/>
      <c r="N229" s="72" t="n"/>
      <c r="O229" s="72" t="n"/>
    </row>
    <row r="230">
      <c r="E230" s="72" t="n"/>
      <c r="N230" s="72" t="n"/>
      <c r="O230" s="72" t="n"/>
    </row>
    <row r="231">
      <c r="E231" s="72" t="n"/>
      <c r="N231" s="72" t="n"/>
      <c r="O231" s="72" t="n"/>
    </row>
    <row r="232">
      <c r="E232" s="72" t="n"/>
      <c r="N232" s="72" t="n"/>
      <c r="O232" s="72" t="n"/>
    </row>
    <row r="233">
      <c r="E233" s="72" t="n"/>
      <c r="N233" s="72" t="n"/>
      <c r="O233" s="72" t="n"/>
    </row>
    <row r="234">
      <c r="E234" s="72" t="n"/>
      <c r="N234" s="72" t="n"/>
      <c r="O234" s="72" t="n"/>
    </row>
    <row r="235">
      <c r="E235" s="72" t="n"/>
      <c r="N235" s="72" t="n"/>
      <c r="O235" s="72" t="n"/>
    </row>
    <row r="236">
      <c r="E236" s="72" t="n"/>
      <c r="N236" s="72" t="n"/>
      <c r="O236" s="72" t="n"/>
    </row>
    <row r="237">
      <c r="E237" s="72" t="n"/>
      <c r="N237" s="72" t="n"/>
      <c r="O237" s="72" t="n"/>
    </row>
    <row r="238">
      <c r="E238" s="72" t="n"/>
      <c r="N238" s="72" t="n"/>
      <c r="O238" s="72" t="n"/>
    </row>
    <row r="239">
      <c r="E239" s="72" t="n"/>
      <c r="N239" s="72" t="n"/>
      <c r="O239" s="72" t="n"/>
    </row>
    <row r="240">
      <c r="E240" s="72" t="n"/>
      <c r="N240" s="72" t="n"/>
      <c r="O240" s="72" t="n"/>
    </row>
    <row r="241">
      <c r="E241" s="72" t="n"/>
      <c r="N241" s="72" t="n"/>
      <c r="O241" s="72" t="n"/>
    </row>
    <row r="242">
      <c r="E242" s="72" t="n"/>
      <c r="N242" s="72" t="n"/>
      <c r="O242" s="72" t="n"/>
    </row>
    <row r="243">
      <c r="E243" s="72" t="n"/>
      <c r="N243" s="72" t="n"/>
      <c r="O243" s="72" t="n"/>
    </row>
    <row r="244">
      <c r="E244" s="72" t="n"/>
      <c r="N244" s="72" t="n"/>
      <c r="O244" s="72" t="n"/>
    </row>
    <row r="245">
      <c r="E245" s="72" t="n"/>
      <c r="N245" s="72" t="n"/>
      <c r="O245" s="72" t="n"/>
    </row>
    <row r="246">
      <c r="E246" s="72" t="n"/>
      <c r="N246" s="72" t="n"/>
      <c r="O246" s="72" t="n"/>
    </row>
    <row r="247">
      <c r="E247" s="72" t="n"/>
      <c r="N247" s="72" t="n"/>
      <c r="O247" s="72" t="n"/>
    </row>
    <row r="248">
      <c r="E248" s="72" t="n"/>
      <c r="N248" s="72" t="n"/>
      <c r="O248" s="72" t="n"/>
    </row>
    <row r="249">
      <c r="E249" s="72" t="n"/>
      <c r="N249" s="72" t="n"/>
      <c r="O249" s="72" t="n"/>
    </row>
    <row r="250">
      <c r="E250" s="72" t="n"/>
      <c r="N250" s="72" t="n"/>
      <c r="O250" s="72" t="n"/>
    </row>
    <row r="251">
      <c r="E251" s="72" t="n"/>
      <c r="N251" s="72" t="n"/>
      <c r="O251" s="72" t="n"/>
    </row>
    <row r="252">
      <c r="E252" s="72" t="n"/>
      <c r="N252" s="72" t="n"/>
      <c r="O252" s="72" t="n"/>
    </row>
    <row r="253">
      <c r="E253" s="72" t="n"/>
      <c r="N253" s="72" t="n"/>
      <c r="O253" s="72" t="n"/>
    </row>
    <row r="254">
      <c r="E254" s="72" t="n"/>
      <c r="N254" s="72" t="n"/>
      <c r="O254" s="72" t="n"/>
    </row>
    <row r="255">
      <c r="E255" s="72" t="n"/>
      <c r="N255" s="72" t="n"/>
      <c r="O255" s="72" t="n"/>
    </row>
    <row r="256">
      <c r="E256" s="72" t="n"/>
      <c r="N256" s="72" t="n"/>
      <c r="O256" s="72" t="n"/>
    </row>
    <row r="257">
      <c r="E257" s="72" t="n"/>
      <c r="N257" s="72" t="n"/>
      <c r="O257" s="72" t="n"/>
    </row>
    <row r="258">
      <c r="E258" s="72" t="n"/>
      <c r="N258" s="72" t="n"/>
      <c r="O258" s="72" t="n"/>
    </row>
    <row r="259">
      <c r="E259" s="72" t="n"/>
      <c r="N259" s="72" t="n"/>
      <c r="O259" s="72" t="n"/>
    </row>
    <row r="260">
      <c r="E260" s="72" t="n"/>
      <c r="N260" s="72" t="n"/>
      <c r="O260" s="72" t="n"/>
    </row>
    <row r="261">
      <c r="E261" s="72" t="n"/>
      <c r="N261" s="72" t="n"/>
      <c r="O261" s="72" t="n"/>
    </row>
    <row r="262">
      <c r="E262" s="72" t="n"/>
      <c r="N262" s="72" t="n"/>
      <c r="O262" s="72" t="n"/>
    </row>
    <row r="263">
      <c r="E263" s="72" t="n"/>
      <c r="N263" s="72" t="n"/>
      <c r="O263" s="72" t="n"/>
    </row>
    <row r="264">
      <c r="E264" s="72" t="n"/>
      <c r="N264" s="72" t="n"/>
      <c r="O264" s="72" t="n"/>
    </row>
    <row r="265">
      <c r="E265" s="72" t="n"/>
      <c r="N265" s="72" t="n"/>
      <c r="O265" s="72" t="n"/>
    </row>
    <row r="266">
      <c r="E266" s="72" t="n"/>
      <c r="N266" s="72" t="n"/>
      <c r="O266" s="72" t="n"/>
    </row>
    <row r="267">
      <c r="E267" s="72" t="n"/>
      <c r="N267" s="72" t="n"/>
      <c r="O267" s="72" t="n"/>
    </row>
    <row r="268">
      <c r="E268" s="72" t="n"/>
      <c r="N268" s="72" t="n"/>
      <c r="O268" s="72" t="n"/>
    </row>
    <row r="269">
      <c r="E269" s="72" t="n"/>
      <c r="N269" s="72" t="n"/>
      <c r="O269" s="72" t="n"/>
    </row>
    <row r="270">
      <c r="E270" s="72" t="n"/>
      <c r="N270" s="72" t="n"/>
      <c r="O270" s="72" t="n"/>
    </row>
    <row r="271">
      <c r="E271" s="72" t="n"/>
      <c r="N271" s="72" t="n"/>
      <c r="O271" s="72" t="n"/>
    </row>
    <row r="272">
      <c r="E272" s="72" t="n"/>
      <c r="N272" s="72" t="n"/>
      <c r="O272" s="72" t="n"/>
    </row>
    <row r="273">
      <c r="E273" s="72" t="n"/>
      <c r="N273" s="72" t="n"/>
      <c r="O273" s="72" t="n"/>
    </row>
    <row r="274">
      <c r="E274" s="72" t="n"/>
      <c r="N274" s="72" t="n"/>
      <c r="O274" s="72" t="n"/>
    </row>
    <row r="275">
      <c r="E275" s="72" t="n"/>
      <c r="N275" s="72" t="n"/>
      <c r="O275" s="72" t="n"/>
    </row>
    <row r="276">
      <c r="E276" s="72" t="n"/>
      <c r="N276" s="72" t="n"/>
      <c r="O276" s="72" t="n"/>
    </row>
    <row r="277">
      <c r="E277" s="72" t="n"/>
      <c r="N277" s="72" t="n"/>
      <c r="O277" s="72" t="n"/>
    </row>
    <row r="278">
      <c r="E278" s="72" t="n"/>
      <c r="N278" s="72" t="n"/>
      <c r="O278" s="72" t="n"/>
    </row>
    <row r="279">
      <c r="E279" s="72" t="n"/>
      <c r="N279" s="72" t="n"/>
      <c r="O279" s="72" t="n"/>
    </row>
    <row r="280">
      <c r="E280" s="72" t="n"/>
      <c r="N280" s="72" t="n"/>
      <c r="O280" s="72" t="n"/>
    </row>
    <row r="281">
      <c r="E281" s="72" t="n"/>
      <c r="N281" s="72" t="n"/>
      <c r="O281" s="72" t="n"/>
    </row>
    <row r="282">
      <c r="E282" s="72" t="n"/>
      <c r="N282" s="72" t="n"/>
      <c r="O282" s="72" t="n"/>
    </row>
    <row r="283">
      <c r="E283" s="72" t="n"/>
      <c r="N283" s="72" t="n"/>
      <c r="O283" s="72" t="n"/>
    </row>
    <row r="284">
      <c r="E284" s="72" t="n"/>
      <c r="N284" s="72" t="n"/>
      <c r="O284" s="72" t="n"/>
    </row>
    <row r="285">
      <c r="E285" s="72" t="n"/>
      <c r="N285" s="72" t="n"/>
      <c r="O285" s="72" t="n"/>
    </row>
    <row r="286">
      <c r="E286" s="72" t="n"/>
      <c r="N286" s="72" t="n"/>
      <c r="O286" s="72" t="n"/>
    </row>
    <row r="287">
      <c r="E287" s="72" t="n"/>
      <c r="N287" s="72" t="n"/>
      <c r="O287" s="72" t="n"/>
    </row>
    <row r="288">
      <c r="E288" s="72" t="n"/>
      <c r="N288" s="72" t="n"/>
      <c r="O288" s="72" t="n"/>
    </row>
    <row r="289">
      <c r="E289" s="72" t="n"/>
      <c r="N289" s="72" t="n"/>
      <c r="O289" s="72" t="n"/>
    </row>
    <row r="290">
      <c r="E290" s="72" t="n"/>
      <c r="N290" s="72" t="n"/>
      <c r="O290" s="72" t="n"/>
    </row>
    <row r="291">
      <c r="E291" s="72" t="n"/>
      <c r="N291" s="72" t="n"/>
      <c r="O291" s="72" t="n"/>
    </row>
    <row r="292">
      <c r="E292" s="72" t="n"/>
      <c r="N292" s="72" t="n"/>
      <c r="O292" s="72" t="n"/>
    </row>
    <row r="293">
      <c r="E293" s="72" t="n"/>
      <c r="N293" s="72" t="n"/>
      <c r="O293" s="72" t="n"/>
    </row>
    <row r="294">
      <c r="E294" s="72" t="n"/>
      <c r="N294" s="72" t="n"/>
      <c r="O294" s="72" t="n"/>
    </row>
    <row r="295">
      <c r="E295" s="72" t="n"/>
      <c r="N295" s="72" t="n"/>
      <c r="O295" s="72" t="n"/>
    </row>
    <row r="296">
      <c r="E296" s="72" t="n"/>
      <c r="N296" s="72" t="n"/>
      <c r="O296" s="72" t="n"/>
    </row>
    <row r="297">
      <c r="E297" s="72" t="n"/>
      <c r="N297" s="72" t="n"/>
      <c r="O297" s="72" t="n"/>
    </row>
    <row r="298">
      <c r="E298" s="72" t="n"/>
      <c r="N298" s="72" t="n"/>
      <c r="O298" s="72" t="n"/>
    </row>
    <row r="299">
      <c r="E299" s="72" t="n"/>
      <c r="N299" s="72" t="n"/>
      <c r="O299" s="72" t="n"/>
    </row>
    <row r="300">
      <c r="E300" s="72" t="n"/>
      <c r="N300" s="72" t="n"/>
      <c r="O300" s="72" t="n"/>
    </row>
    <row r="301">
      <c r="E301" s="72" t="n"/>
      <c r="N301" s="72" t="n"/>
      <c r="O301" s="72" t="n"/>
    </row>
    <row r="302">
      <c r="E302" s="72" t="n"/>
      <c r="N302" s="72" t="n"/>
      <c r="O302" s="72" t="n"/>
    </row>
    <row r="303">
      <c r="E303" s="72" t="n"/>
      <c r="N303" s="72" t="n"/>
      <c r="O303" s="72" t="n"/>
    </row>
    <row r="304">
      <c r="E304" s="72" t="n"/>
      <c r="N304" s="72" t="n"/>
      <c r="O304" s="72" t="n"/>
    </row>
    <row r="305">
      <c r="E305" s="72" t="n"/>
      <c r="N305" s="72" t="n"/>
      <c r="O305" s="72" t="n"/>
    </row>
    <row r="306">
      <c r="E306" s="72" t="n"/>
      <c r="N306" s="72" t="n"/>
      <c r="O306" s="72" t="n"/>
    </row>
    <row r="307">
      <c r="E307" s="72" t="n"/>
      <c r="N307" s="72" t="n"/>
      <c r="O307" s="72" t="n"/>
    </row>
    <row r="308">
      <c r="E308" s="72" t="n"/>
      <c r="N308" s="72" t="n"/>
      <c r="O308" s="72" t="n"/>
    </row>
    <row r="309">
      <c r="E309" s="72" t="n"/>
      <c r="N309" s="72" t="n"/>
      <c r="O309" s="72" t="n"/>
    </row>
    <row r="310">
      <c r="E310" s="72" t="n"/>
      <c r="N310" s="72" t="n"/>
      <c r="O310" s="72" t="n"/>
    </row>
    <row r="311">
      <c r="E311" s="72" t="n"/>
      <c r="N311" s="72" t="n"/>
      <c r="O311" s="72" t="n"/>
    </row>
    <row r="312">
      <c r="E312" s="72" t="n"/>
      <c r="N312" s="72" t="n"/>
      <c r="O312" s="72" t="n"/>
    </row>
    <row r="313">
      <c r="E313" s="72" t="n"/>
      <c r="N313" s="72" t="n"/>
      <c r="O313" s="72" t="n"/>
    </row>
    <row r="314">
      <c r="E314" s="72" t="n"/>
      <c r="N314" s="72" t="n"/>
      <c r="O314" s="72" t="n"/>
    </row>
    <row r="315">
      <c r="E315" s="72" t="n"/>
      <c r="N315" s="72" t="n"/>
      <c r="O315" s="72" t="n"/>
    </row>
    <row r="316">
      <c r="E316" s="72" t="n"/>
      <c r="N316" s="72" t="n"/>
      <c r="O316" s="72" t="n"/>
    </row>
    <row r="317">
      <c r="E317" s="72" t="n"/>
      <c r="N317" s="72" t="n"/>
      <c r="O317" s="72" t="n"/>
    </row>
    <row r="318">
      <c r="E318" s="72" t="n"/>
      <c r="N318" s="72" t="n"/>
      <c r="O318" s="72" t="n"/>
    </row>
    <row r="319">
      <c r="E319" s="72" t="n"/>
      <c r="N319" s="72" t="n"/>
      <c r="O319" s="72" t="n"/>
    </row>
    <row r="320">
      <c r="E320" s="72" t="n"/>
      <c r="N320" s="72" t="n"/>
      <c r="O320" s="72" t="n"/>
    </row>
    <row r="321">
      <c r="E321" s="72" t="n"/>
      <c r="N321" s="72" t="n"/>
      <c r="O321" s="72" t="n"/>
    </row>
    <row r="322">
      <c r="E322" s="72" t="n"/>
      <c r="N322" s="72" t="n"/>
      <c r="O322" s="72" t="n"/>
    </row>
    <row r="323">
      <c r="E323" s="72" t="n"/>
      <c r="N323" s="72" t="n"/>
      <c r="O323" s="72" t="n"/>
    </row>
    <row r="324">
      <c r="E324" s="72" t="n"/>
      <c r="N324" s="72" t="n"/>
      <c r="O324" s="72" t="n"/>
    </row>
    <row r="325">
      <c r="E325" s="72" t="n"/>
      <c r="N325" s="72" t="n"/>
      <c r="O325" s="72" t="n"/>
    </row>
    <row r="326">
      <c r="E326" s="72" t="n"/>
      <c r="N326" s="72" t="n"/>
      <c r="O326" s="72" t="n"/>
    </row>
    <row r="327">
      <c r="E327" s="72" t="n"/>
      <c r="N327" s="72" t="n"/>
      <c r="O327" s="72" t="n"/>
    </row>
    <row r="328">
      <c r="E328" s="72" t="n"/>
      <c r="N328" s="72" t="n"/>
      <c r="O328" s="72" t="n"/>
    </row>
    <row r="329">
      <c r="E329" s="72" t="n"/>
      <c r="N329" s="72" t="n"/>
      <c r="O329" s="72" t="n"/>
    </row>
    <row r="330">
      <c r="E330" s="72" t="n"/>
      <c r="N330" s="72" t="n"/>
      <c r="O330" s="72" t="n"/>
    </row>
    <row r="331">
      <c r="E331" s="72" t="n"/>
      <c r="N331" s="72" t="n"/>
      <c r="O331" s="72" t="n"/>
    </row>
    <row r="332">
      <c r="E332" s="72" t="n"/>
      <c r="N332" s="72" t="n"/>
      <c r="O332" s="72" t="n"/>
    </row>
    <row r="333">
      <c r="E333" s="72" t="n"/>
      <c r="N333" s="72" t="n"/>
      <c r="O333" s="72" t="n"/>
    </row>
    <row r="334">
      <c r="E334" s="72" t="n"/>
      <c r="N334" s="72" t="n"/>
      <c r="O334" s="72" t="n"/>
    </row>
    <row r="335">
      <c r="E335" s="72" t="n"/>
      <c r="N335" s="72" t="n"/>
      <c r="O335" s="72" t="n"/>
    </row>
    <row r="336">
      <c r="E336" s="72" t="n"/>
      <c r="N336" s="72" t="n"/>
      <c r="O336" s="72" t="n"/>
    </row>
    <row r="337">
      <c r="E337" s="72" t="n"/>
      <c r="N337" s="72" t="n"/>
      <c r="O337" s="72" t="n"/>
    </row>
    <row r="338">
      <c r="E338" s="72" t="n"/>
      <c r="N338" s="72" t="n"/>
      <c r="O338" s="72" t="n"/>
    </row>
    <row r="339">
      <c r="E339" s="72" t="n"/>
      <c r="N339" s="72" t="n"/>
      <c r="O339" s="72" t="n"/>
    </row>
    <row r="340">
      <c r="E340" s="72" t="n"/>
      <c r="N340" s="72" t="n"/>
      <c r="O340" s="72" t="n"/>
    </row>
    <row r="341">
      <c r="E341" s="72" t="n"/>
      <c r="N341" s="72" t="n"/>
      <c r="O341" s="72" t="n"/>
    </row>
    <row r="342">
      <c r="E342" s="72" t="n"/>
      <c r="N342" s="72" t="n"/>
      <c r="O342" s="72" t="n"/>
    </row>
    <row r="343">
      <c r="E343" s="72" t="n"/>
      <c r="N343" s="72" t="n"/>
      <c r="O343" s="72" t="n"/>
    </row>
    <row r="344">
      <c r="E344" s="72" t="n"/>
      <c r="N344" s="72" t="n"/>
      <c r="O344" s="72" t="n"/>
    </row>
    <row r="345">
      <c r="E345" s="72" t="n"/>
      <c r="N345" s="72" t="n"/>
      <c r="O345" s="72" t="n"/>
    </row>
    <row r="346">
      <c r="E346" s="72" t="n"/>
      <c r="N346" s="72" t="n"/>
      <c r="O346" s="72" t="n"/>
    </row>
    <row r="347">
      <c r="E347" s="72" t="n"/>
      <c r="N347" s="72" t="n"/>
      <c r="O347" s="72" t="n"/>
    </row>
    <row r="348">
      <c r="E348" s="72" t="n"/>
      <c r="N348" s="72" t="n"/>
      <c r="O348" s="72" t="n"/>
    </row>
    <row r="349">
      <c r="E349" s="72" t="n"/>
      <c r="N349" s="72" t="n"/>
      <c r="O349" s="72" t="n"/>
    </row>
    <row r="350">
      <c r="E350" s="72" t="n"/>
      <c r="N350" s="72" t="n"/>
      <c r="O350" s="72" t="n"/>
    </row>
    <row r="351">
      <c r="E351" s="72" t="n"/>
      <c r="N351" s="72" t="n"/>
      <c r="O351" s="72" t="n"/>
    </row>
    <row r="352">
      <c r="E352" s="72" t="n"/>
      <c r="N352" s="72" t="n"/>
      <c r="O352" s="72" t="n"/>
    </row>
    <row r="353">
      <c r="E353" s="72" t="n"/>
      <c r="N353" s="72" t="n"/>
      <c r="O353" s="72" t="n"/>
    </row>
    <row r="354">
      <c r="E354" s="72" t="n"/>
      <c r="N354" s="72" t="n"/>
      <c r="O354" s="72" t="n"/>
    </row>
    <row r="355">
      <c r="E355" s="72" t="n"/>
      <c r="N355" s="72" t="n"/>
      <c r="O355" s="72" t="n"/>
    </row>
    <row r="356">
      <c r="E356" s="72" t="n"/>
      <c r="N356" s="72" t="n"/>
      <c r="O356" s="72" t="n"/>
    </row>
    <row r="357">
      <c r="E357" s="72" t="n"/>
      <c r="N357" s="72" t="n"/>
      <c r="O357" s="72" t="n"/>
    </row>
    <row r="358">
      <c r="E358" s="72" t="n"/>
      <c r="N358" s="72" t="n"/>
      <c r="O358" s="72" t="n"/>
    </row>
    <row r="359">
      <c r="E359" s="72" t="n"/>
      <c r="N359" s="72" t="n"/>
      <c r="O359" s="72" t="n"/>
    </row>
    <row r="360">
      <c r="E360" s="72" t="n"/>
      <c r="N360" s="72" t="n"/>
      <c r="O360" s="72" t="n"/>
    </row>
    <row r="361">
      <c r="E361" s="72" t="n"/>
      <c r="N361" s="72" t="n"/>
      <c r="O361" s="72" t="n"/>
    </row>
    <row r="362">
      <c r="E362" s="72" t="n"/>
      <c r="N362" s="72" t="n"/>
      <c r="O362" s="72" t="n"/>
    </row>
    <row r="363">
      <c r="E363" s="72" t="n"/>
      <c r="N363" s="72" t="n"/>
      <c r="O363" s="72" t="n"/>
    </row>
    <row r="364">
      <c r="E364" s="72" t="n"/>
      <c r="N364" s="72" t="n"/>
      <c r="O364" s="72" t="n"/>
    </row>
    <row r="365">
      <c r="E365" s="72" t="n"/>
      <c r="N365" s="72" t="n"/>
      <c r="O365" s="72" t="n"/>
    </row>
    <row r="366">
      <c r="E366" s="72" t="n"/>
      <c r="N366" s="72" t="n"/>
      <c r="O366" s="72" t="n"/>
    </row>
    <row r="367">
      <c r="E367" s="72" t="n"/>
      <c r="N367" s="72" t="n"/>
      <c r="O367" s="72" t="n"/>
    </row>
    <row r="368">
      <c r="E368" s="72" t="n"/>
      <c r="N368" s="72" t="n"/>
      <c r="O368" s="72" t="n"/>
    </row>
    <row r="369">
      <c r="E369" s="72" t="n"/>
      <c r="N369" s="72" t="n"/>
      <c r="O369" s="72" t="n"/>
    </row>
    <row r="370">
      <c r="E370" s="72" t="n"/>
      <c r="N370" s="72" t="n"/>
      <c r="O370" s="72" t="n"/>
    </row>
    <row r="371">
      <c r="E371" s="72" t="n"/>
      <c r="N371" s="72" t="n"/>
      <c r="O371" s="72" t="n"/>
    </row>
    <row r="372">
      <c r="E372" s="72" t="n"/>
      <c r="N372" s="72" t="n"/>
      <c r="O372" s="72" t="n"/>
    </row>
    <row r="373">
      <c r="E373" s="72" t="n"/>
      <c r="N373" s="72" t="n"/>
      <c r="O373" s="72" t="n"/>
    </row>
    <row r="374">
      <c r="E374" s="72" t="n"/>
      <c r="N374" s="72" t="n"/>
      <c r="O374" s="72" t="n"/>
    </row>
    <row r="375">
      <c r="E375" s="72" t="n"/>
      <c r="N375" s="72" t="n"/>
      <c r="O375" s="72" t="n"/>
    </row>
    <row r="376">
      <c r="E376" s="72" t="n"/>
      <c r="N376" s="72" t="n"/>
      <c r="O376" s="72" t="n"/>
    </row>
    <row r="377">
      <c r="E377" s="72" t="n"/>
      <c r="N377" s="72" t="n"/>
      <c r="O377" s="72" t="n"/>
    </row>
    <row r="378">
      <c r="E378" s="72" t="n"/>
      <c r="N378" s="72" t="n"/>
      <c r="O378" s="72" t="n"/>
    </row>
    <row r="379">
      <c r="E379" s="72" t="n"/>
      <c r="N379" s="72" t="n"/>
      <c r="O379" s="72" t="n"/>
    </row>
    <row r="380">
      <c r="E380" s="72" t="n"/>
      <c r="N380" s="72" t="n"/>
      <c r="O380" s="72" t="n"/>
    </row>
    <row r="381">
      <c r="E381" s="72" t="n"/>
      <c r="N381" s="72" t="n"/>
      <c r="O381" s="72" t="n"/>
    </row>
    <row r="382">
      <c r="E382" s="72" t="n"/>
      <c r="N382" s="72" t="n"/>
      <c r="O382" s="72" t="n"/>
    </row>
    <row r="383">
      <c r="E383" s="72" t="n"/>
      <c r="N383" s="72" t="n"/>
      <c r="O383" s="72" t="n"/>
    </row>
    <row r="384">
      <c r="E384" s="72" t="n"/>
      <c r="N384" s="72" t="n"/>
      <c r="O384" s="72" t="n"/>
    </row>
    <row r="385">
      <c r="E385" s="72" t="n"/>
      <c r="N385" s="72" t="n"/>
      <c r="O385" s="72" t="n"/>
    </row>
    <row r="386">
      <c r="E386" s="72" t="n"/>
      <c r="N386" s="72" t="n"/>
      <c r="O386" s="72" t="n"/>
    </row>
    <row r="387">
      <c r="E387" s="72" t="n"/>
      <c r="N387" s="72" t="n"/>
      <c r="O387" s="72" t="n"/>
    </row>
    <row r="388">
      <c r="E388" s="72" t="n"/>
      <c r="N388" s="72" t="n"/>
      <c r="O388" s="72" t="n"/>
    </row>
    <row r="389">
      <c r="E389" s="72" t="n"/>
      <c r="N389" s="72" t="n"/>
      <c r="O389" s="72" t="n"/>
    </row>
    <row r="390">
      <c r="E390" s="72" t="n"/>
      <c r="N390" s="72" t="n"/>
      <c r="O390" s="72" t="n"/>
    </row>
    <row r="391">
      <c r="E391" s="72" t="n"/>
      <c r="N391" s="72" t="n"/>
      <c r="O391" s="72" t="n"/>
    </row>
    <row r="392">
      <c r="E392" s="72" t="n"/>
      <c r="N392" s="72" t="n"/>
      <c r="O392" s="72" t="n"/>
    </row>
    <row r="393">
      <c r="E393" s="72" t="n"/>
      <c r="N393" s="72" t="n"/>
      <c r="O393" s="72" t="n"/>
    </row>
    <row r="394">
      <c r="E394" s="72" t="n"/>
      <c r="N394" s="72" t="n"/>
      <c r="O394" s="72" t="n"/>
    </row>
    <row r="395">
      <c r="E395" s="72" t="n"/>
      <c r="N395" s="72" t="n"/>
      <c r="O395" s="72" t="n"/>
    </row>
    <row r="396">
      <c r="E396" s="72" t="n"/>
      <c r="N396" s="72" t="n"/>
      <c r="O396" s="72" t="n"/>
    </row>
    <row r="397">
      <c r="E397" s="72" t="n"/>
      <c r="N397" s="72" t="n"/>
      <c r="O397" s="72" t="n"/>
    </row>
    <row r="398">
      <c r="E398" s="72" t="n"/>
      <c r="N398" s="72" t="n"/>
      <c r="O398" s="72" t="n"/>
    </row>
    <row r="399">
      <c r="E399" s="72" t="n"/>
      <c r="N399" s="72" t="n"/>
      <c r="O399" s="72" t="n"/>
    </row>
    <row r="400">
      <c r="E400" s="72" t="n"/>
      <c r="N400" s="72" t="n"/>
      <c r="O400" s="72" t="n"/>
    </row>
    <row r="401">
      <c r="E401" s="72" t="n"/>
      <c r="N401" s="72" t="n"/>
      <c r="O401" s="72" t="n"/>
    </row>
    <row r="402">
      <c r="E402" s="72" t="n"/>
      <c r="N402" s="72" t="n"/>
      <c r="O402" s="72" t="n"/>
    </row>
    <row r="403">
      <c r="E403" s="72" t="n"/>
      <c r="N403" s="72" t="n"/>
      <c r="O403" s="72" t="n"/>
    </row>
    <row r="404">
      <c r="E404" s="72" t="n"/>
      <c r="N404" s="72" t="n"/>
      <c r="O404" s="72" t="n"/>
    </row>
    <row r="405">
      <c r="E405" s="72" t="n"/>
      <c r="N405" s="72" t="n"/>
      <c r="O405" s="72" t="n"/>
    </row>
    <row r="406">
      <c r="E406" s="72" t="n"/>
      <c r="N406" s="72" t="n"/>
      <c r="O406" s="72" t="n"/>
    </row>
    <row r="407">
      <c r="E407" s="72" t="n"/>
      <c r="N407" s="72" t="n"/>
      <c r="O407" s="72" t="n"/>
    </row>
    <row r="408">
      <c r="E408" s="72" t="n"/>
      <c r="N408" s="72" t="n"/>
      <c r="O408" s="72" t="n"/>
    </row>
    <row r="409">
      <c r="E409" s="72" t="n"/>
      <c r="N409" s="72" t="n"/>
      <c r="O409" s="72" t="n"/>
    </row>
    <row r="410">
      <c r="E410" s="72" t="n"/>
      <c r="N410" s="72" t="n"/>
      <c r="O410" s="72" t="n"/>
    </row>
    <row r="411">
      <c r="E411" s="72" t="n"/>
      <c r="N411" s="72" t="n"/>
      <c r="O411" s="72" t="n"/>
    </row>
    <row r="412">
      <c r="E412" s="72" t="n"/>
      <c r="N412" s="72" t="n"/>
      <c r="O412" s="72" t="n"/>
    </row>
    <row r="413">
      <c r="E413" s="72" t="n"/>
      <c r="N413" s="72" t="n"/>
      <c r="O413" s="72" t="n"/>
    </row>
    <row r="414">
      <c r="E414" s="72" t="n"/>
      <c r="N414" s="72" t="n"/>
      <c r="O414" s="72" t="n"/>
    </row>
    <row r="415">
      <c r="E415" s="72" t="n"/>
      <c r="N415" s="72" t="n"/>
      <c r="O415" s="72" t="n"/>
    </row>
    <row r="416">
      <c r="E416" s="72" t="n"/>
      <c r="N416" s="72" t="n"/>
      <c r="O416" s="72" t="n"/>
    </row>
    <row r="417">
      <c r="E417" s="72" t="n"/>
      <c r="N417" s="72" t="n"/>
      <c r="O417" s="72" t="n"/>
    </row>
    <row r="418">
      <c r="E418" s="72" t="n"/>
      <c r="N418" s="72" t="n"/>
      <c r="O418" s="72" t="n"/>
    </row>
    <row r="419">
      <c r="E419" s="72" t="n"/>
      <c r="N419" s="72" t="n"/>
      <c r="O419" s="72" t="n"/>
    </row>
    <row r="420">
      <c r="E420" s="72" t="n"/>
      <c r="N420" s="72" t="n"/>
      <c r="O420" s="72" t="n"/>
    </row>
    <row r="421">
      <c r="E421" s="72" t="n"/>
      <c r="N421" s="72" t="n"/>
      <c r="O421" s="72" t="n"/>
    </row>
    <row r="422">
      <c r="E422" s="72" t="n"/>
      <c r="N422" s="72" t="n"/>
      <c r="O422" s="72" t="n"/>
    </row>
    <row r="423">
      <c r="E423" s="72" t="n"/>
      <c r="N423" s="72" t="n"/>
      <c r="O423" s="72" t="n"/>
    </row>
    <row r="424">
      <c r="E424" s="72" t="n"/>
      <c r="N424" s="72" t="n"/>
      <c r="O424" s="72" t="n"/>
    </row>
    <row r="425">
      <c r="E425" s="72" t="n"/>
      <c r="N425" s="72" t="n"/>
      <c r="O425" s="72" t="n"/>
    </row>
    <row r="426">
      <c r="E426" s="72" t="n"/>
      <c r="N426" s="72" t="n"/>
      <c r="O426" s="72" t="n"/>
    </row>
    <row r="427">
      <c r="E427" s="72" t="n"/>
      <c r="N427" s="72" t="n"/>
      <c r="O427" s="72" t="n"/>
    </row>
    <row r="428">
      <c r="E428" s="72" t="n"/>
      <c r="N428" s="72" t="n"/>
      <c r="O428" s="72" t="n"/>
    </row>
    <row r="429">
      <c r="E429" s="72" t="n"/>
      <c r="N429" s="72" t="n"/>
      <c r="O429" s="72" t="n"/>
    </row>
    <row r="430">
      <c r="E430" s="72" t="n"/>
      <c r="N430" s="72" t="n"/>
      <c r="O430" s="72" t="n"/>
    </row>
    <row r="431">
      <c r="E431" s="72" t="n"/>
      <c r="N431" s="72" t="n"/>
      <c r="O431" s="72" t="n"/>
    </row>
    <row r="432">
      <c r="E432" s="72" t="n"/>
      <c r="N432" s="72" t="n"/>
      <c r="O432" s="72" t="n"/>
    </row>
    <row r="433">
      <c r="E433" s="72" t="n"/>
      <c r="N433" s="72" t="n"/>
      <c r="O433" s="72" t="n"/>
    </row>
    <row r="434">
      <c r="E434" s="72" t="n"/>
      <c r="N434" s="72" t="n"/>
      <c r="O434" s="72" t="n"/>
    </row>
    <row r="435">
      <c r="E435" s="72" t="n"/>
      <c r="N435" s="72" t="n"/>
      <c r="O435" s="72" t="n"/>
    </row>
    <row r="436">
      <c r="E436" s="72" t="n"/>
      <c r="N436" s="72" t="n"/>
      <c r="O436" s="72" t="n"/>
    </row>
    <row r="437">
      <c r="E437" s="72" t="n"/>
      <c r="N437" s="72" t="n"/>
      <c r="O437" s="72" t="n"/>
    </row>
    <row r="438">
      <c r="E438" s="72" t="n"/>
      <c r="N438" s="72" t="n"/>
      <c r="O438" s="72" t="n"/>
    </row>
    <row r="439">
      <c r="E439" s="72" t="n"/>
      <c r="N439" s="72" t="n"/>
      <c r="O439" s="72" t="n"/>
    </row>
    <row r="440">
      <c r="E440" s="72" t="n"/>
      <c r="N440" s="72" t="n"/>
      <c r="O440" s="72" t="n"/>
    </row>
    <row r="441">
      <c r="E441" s="72" t="n"/>
      <c r="N441" s="72" t="n"/>
      <c r="O441" s="72" t="n"/>
    </row>
    <row r="442">
      <c r="E442" s="72" t="n"/>
      <c r="N442" s="72" t="n"/>
      <c r="O442" s="72" t="n"/>
    </row>
    <row r="443">
      <c r="E443" s="72" t="n"/>
      <c r="N443" s="72" t="n"/>
      <c r="O443" s="72" t="n"/>
    </row>
    <row r="444">
      <c r="E444" s="72" t="n"/>
      <c r="N444" s="72" t="n"/>
      <c r="O444" s="72" t="n"/>
    </row>
    <row r="445">
      <c r="E445" s="72" t="n"/>
      <c r="N445" s="72" t="n"/>
      <c r="O445" s="72" t="n"/>
    </row>
    <row r="446">
      <c r="E446" s="72" t="n"/>
      <c r="N446" s="72" t="n"/>
      <c r="O446" s="72" t="n"/>
    </row>
    <row r="447">
      <c r="E447" s="72" t="n"/>
      <c r="N447" s="72" t="n"/>
      <c r="O447" s="72" t="n"/>
    </row>
    <row r="448">
      <c r="E448" s="72" t="n"/>
      <c r="N448" s="72" t="n"/>
      <c r="O448" s="72" t="n"/>
    </row>
    <row r="449">
      <c r="E449" s="72" t="n"/>
      <c r="N449" s="72" t="n"/>
      <c r="O449" s="72" t="n"/>
    </row>
    <row r="450">
      <c r="E450" s="72" t="n"/>
      <c r="N450" s="72" t="n"/>
      <c r="O450" s="72" t="n"/>
    </row>
    <row r="451">
      <c r="E451" s="72" t="n"/>
      <c r="N451" s="72" t="n"/>
      <c r="O451" s="72" t="n"/>
    </row>
    <row r="452">
      <c r="E452" s="72" t="n"/>
      <c r="N452" s="72" t="n"/>
      <c r="O452" s="72" t="n"/>
    </row>
    <row r="453">
      <c r="E453" s="72" t="n"/>
      <c r="N453" s="72" t="n"/>
      <c r="O453" s="72" t="n"/>
    </row>
    <row r="454">
      <c r="E454" s="72" t="n"/>
      <c r="N454" s="72" t="n"/>
      <c r="O454" s="72" t="n"/>
    </row>
    <row r="455">
      <c r="E455" s="72" t="n"/>
      <c r="N455" s="72" t="n"/>
      <c r="O455" s="72" t="n"/>
    </row>
    <row r="456">
      <c r="E456" s="72" t="n"/>
      <c r="N456" s="72" t="n"/>
      <c r="O456" s="72" t="n"/>
    </row>
    <row r="457">
      <c r="E457" s="72" t="n"/>
      <c r="N457" s="72" t="n"/>
      <c r="O457" s="72" t="n"/>
    </row>
    <row r="458">
      <c r="E458" s="72" t="n"/>
      <c r="N458" s="72" t="n"/>
      <c r="O458" s="72" t="n"/>
    </row>
    <row r="459">
      <c r="E459" s="72" t="n"/>
      <c r="N459" s="72" t="n"/>
      <c r="O459" s="72" t="n"/>
    </row>
    <row r="460">
      <c r="E460" s="72" t="n"/>
      <c r="N460" s="72" t="n"/>
      <c r="O460" s="72" t="n"/>
    </row>
    <row r="461">
      <c r="E461" s="72" t="n"/>
      <c r="N461" s="72" t="n"/>
      <c r="O461" s="72" t="n"/>
    </row>
    <row r="462">
      <c r="E462" s="72" t="n"/>
      <c r="N462" s="72" t="n"/>
      <c r="O462" s="72" t="n"/>
    </row>
    <row r="463">
      <c r="E463" s="72" t="n"/>
      <c r="N463" s="72" t="n"/>
      <c r="O463" s="72" t="n"/>
    </row>
    <row r="464">
      <c r="E464" s="72" t="n"/>
      <c r="N464" s="72" t="n"/>
      <c r="O464" s="72" t="n"/>
    </row>
    <row r="465">
      <c r="E465" s="72" t="n"/>
      <c r="N465" s="72" t="n"/>
      <c r="O465" s="72" t="n"/>
    </row>
    <row r="466">
      <c r="E466" s="72" t="n"/>
      <c r="N466" s="72" t="n"/>
      <c r="O466" s="72" t="n"/>
    </row>
    <row r="467">
      <c r="E467" s="72" t="n"/>
      <c r="N467" s="72" t="n"/>
      <c r="O467" s="72" t="n"/>
    </row>
    <row r="468">
      <c r="E468" s="72" t="n"/>
      <c r="N468" s="72" t="n"/>
      <c r="O468" s="72" t="n"/>
    </row>
    <row r="469">
      <c r="E469" s="72" t="n"/>
      <c r="N469" s="72" t="n"/>
      <c r="O469" s="72" t="n"/>
    </row>
    <row r="470">
      <c r="E470" s="72" t="n"/>
      <c r="N470" s="72" t="n"/>
      <c r="O470" s="72" t="n"/>
    </row>
    <row r="471">
      <c r="E471" s="72" t="n"/>
      <c r="N471" s="72" t="n"/>
      <c r="O471" s="72" t="n"/>
    </row>
    <row r="472">
      <c r="E472" s="72" t="n"/>
      <c r="N472" s="72" t="n"/>
      <c r="O472" s="72" t="n"/>
    </row>
    <row r="473">
      <c r="E473" s="72" t="n"/>
      <c r="N473" s="72" t="n"/>
      <c r="O473" s="72" t="n"/>
    </row>
    <row r="474">
      <c r="E474" s="72" t="n"/>
      <c r="N474" s="72" t="n"/>
      <c r="O474" s="72" t="n"/>
    </row>
    <row r="475">
      <c r="E475" s="72" t="n"/>
      <c r="N475" s="72" t="n"/>
      <c r="O475" s="72" t="n"/>
    </row>
    <row r="476">
      <c r="E476" s="72" t="n"/>
      <c r="N476" s="72" t="n"/>
      <c r="O476" s="72" t="n"/>
    </row>
    <row r="477">
      <c r="E477" s="72" t="n"/>
      <c r="N477" s="72" t="n"/>
      <c r="O477" s="72" t="n"/>
    </row>
    <row r="478">
      <c r="E478" s="72" t="n"/>
      <c r="N478" s="72" t="n"/>
      <c r="O478" s="72" t="n"/>
    </row>
    <row r="479">
      <c r="E479" s="72" t="n"/>
      <c r="N479" s="72" t="n"/>
      <c r="O479" s="72" t="n"/>
    </row>
    <row r="480">
      <c r="E480" s="72" t="n"/>
      <c r="N480" s="72" t="n"/>
      <c r="O480" s="72" t="n"/>
    </row>
    <row r="481">
      <c r="E481" s="72" t="n"/>
      <c r="N481" s="72" t="n"/>
      <c r="O481" s="72" t="n"/>
    </row>
    <row r="482">
      <c r="E482" s="72" t="n"/>
      <c r="N482" s="72" t="n"/>
      <c r="O482" s="72" t="n"/>
    </row>
    <row r="483">
      <c r="E483" s="72" t="n"/>
      <c r="N483" s="72" t="n"/>
      <c r="O483" s="72" t="n"/>
    </row>
    <row r="484">
      <c r="E484" s="72" t="n"/>
      <c r="N484" s="72" t="n"/>
      <c r="O484" s="72" t="n"/>
    </row>
    <row r="485">
      <c r="E485" s="72" t="n"/>
      <c r="N485" s="72" t="n"/>
      <c r="O485" s="72" t="n"/>
    </row>
    <row r="486">
      <c r="E486" s="72" t="n"/>
      <c r="N486" s="72" t="n"/>
      <c r="O486" s="72" t="n"/>
    </row>
    <row r="487">
      <c r="E487" s="72" t="n"/>
      <c r="N487" s="72" t="n"/>
      <c r="O487" s="72" t="n"/>
    </row>
    <row r="488">
      <c r="E488" s="72" t="n"/>
      <c r="N488" s="72" t="n"/>
      <c r="O488" s="72" t="n"/>
    </row>
    <row r="489">
      <c r="E489" s="72" t="n"/>
      <c r="N489" s="72" t="n"/>
      <c r="O489" s="72" t="n"/>
    </row>
    <row r="490">
      <c r="E490" s="72" t="n"/>
      <c r="N490" s="72" t="n"/>
      <c r="O490" s="72" t="n"/>
    </row>
    <row r="491">
      <c r="E491" s="72" t="n"/>
      <c r="N491" s="72" t="n"/>
      <c r="O491" s="72" t="n"/>
    </row>
    <row r="492">
      <c r="E492" s="72" t="n"/>
      <c r="N492" s="72" t="n"/>
      <c r="O492" s="72" t="n"/>
    </row>
    <row r="493">
      <c r="E493" s="72" t="n"/>
      <c r="N493" s="72" t="n"/>
      <c r="O493" s="72" t="n"/>
    </row>
    <row r="494">
      <c r="E494" s="72" t="n"/>
      <c r="N494" s="72" t="n"/>
      <c r="O494" s="72" t="n"/>
    </row>
    <row r="495">
      <c r="E495" s="72" t="n"/>
      <c r="N495" s="72" t="n"/>
      <c r="O495" s="72" t="n"/>
    </row>
    <row r="496">
      <c r="E496" s="72" t="n"/>
      <c r="N496" s="72" t="n"/>
      <c r="O496" s="72" t="n"/>
    </row>
    <row r="497">
      <c r="E497" s="72" t="n"/>
      <c r="N497" s="72" t="n"/>
      <c r="O497" s="72" t="n"/>
    </row>
    <row r="498">
      <c r="E498" s="72" t="n"/>
      <c r="N498" s="72" t="n"/>
      <c r="O498" s="72" t="n"/>
    </row>
    <row r="499">
      <c r="E499" s="72" t="n"/>
      <c r="N499" s="72" t="n"/>
      <c r="O499" s="72" t="n"/>
    </row>
    <row r="500">
      <c r="E500" s="72" t="n"/>
      <c r="N500" s="72" t="n"/>
      <c r="O500" s="72" t="n"/>
    </row>
    <row r="501">
      <c r="E501" s="72" t="n"/>
      <c r="N501" s="72" t="n"/>
      <c r="O501" s="72" t="n"/>
    </row>
    <row r="502">
      <c r="E502" s="72" t="n"/>
      <c r="N502" s="72" t="n"/>
      <c r="O502" s="72" t="n"/>
    </row>
    <row r="503">
      <c r="E503" s="72" t="n"/>
      <c r="N503" s="72" t="n"/>
      <c r="O503" s="72" t="n"/>
    </row>
    <row r="504">
      <c r="E504" s="72" t="n"/>
      <c r="N504" s="72" t="n"/>
      <c r="O504" s="72" t="n"/>
    </row>
    <row r="505">
      <c r="E505" s="72" t="n"/>
      <c r="N505" s="72" t="n"/>
      <c r="O505" s="72" t="n"/>
    </row>
    <row r="506">
      <c r="E506" s="72" t="n"/>
      <c r="N506" s="72" t="n"/>
      <c r="O506" s="72" t="n"/>
    </row>
    <row r="507">
      <c r="E507" s="72" t="n"/>
      <c r="N507" s="72" t="n"/>
      <c r="O507" s="72" t="n"/>
    </row>
    <row r="508">
      <c r="E508" s="72" t="n"/>
      <c r="N508" s="72" t="n"/>
      <c r="O508" s="72" t="n"/>
    </row>
    <row r="509">
      <c r="E509" s="72" t="n"/>
      <c r="N509" s="72" t="n"/>
      <c r="O509" s="72" t="n"/>
    </row>
    <row r="510">
      <c r="E510" s="72" t="n"/>
      <c r="N510" s="72" t="n"/>
      <c r="O510" s="72" t="n"/>
    </row>
    <row r="511">
      <c r="E511" s="72" t="n"/>
      <c r="N511" s="72" t="n"/>
      <c r="O511" s="72" t="n"/>
    </row>
    <row r="512">
      <c r="E512" s="72" t="n"/>
      <c r="N512" s="72" t="n"/>
      <c r="O512" s="72" t="n"/>
    </row>
    <row r="513">
      <c r="E513" s="72" t="n"/>
      <c r="N513" s="72" t="n"/>
      <c r="O513" s="72" t="n"/>
    </row>
    <row r="514">
      <c r="E514" s="72" t="n"/>
      <c r="N514" s="72" t="n"/>
      <c r="O514" s="72" t="n"/>
    </row>
    <row r="515">
      <c r="E515" s="72" t="n"/>
      <c r="N515" s="72" t="n"/>
      <c r="O515" s="72" t="n"/>
    </row>
    <row r="516">
      <c r="E516" s="72" t="n"/>
      <c r="N516" s="72" t="n"/>
      <c r="O516" s="72" t="n"/>
    </row>
    <row r="517">
      <c r="E517" s="72" t="n"/>
      <c r="N517" s="72" t="n"/>
      <c r="O517" s="72" t="n"/>
    </row>
    <row r="518">
      <c r="E518" s="72" t="n"/>
      <c r="N518" s="72" t="n"/>
      <c r="O518" s="72" t="n"/>
    </row>
    <row r="519">
      <c r="E519" s="72" t="n"/>
      <c r="N519" s="72" t="n"/>
      <c r="O519" s="72" t="n"/>
    </row>
    <row r="520">
      <c r="E520" s="72" t="n"/>
      <c r="N520" s="72" t="n"/>
      <c r="O520" s="72" t="n"/>
    </row>
    <row r="521">
      <c r="E521" s="72" t="n"/>
      <c r="N521" s="72" t="n"/>
      <c r="O521" s="72" t="n"/>
    </row>
    <row r="522">
      <c r="E522" s="72" t="n"/>
      <c r="N522" s="72" t="n"/>
      <c r="O522" s="72" t="n"/>
    </row>
    <row r="523">
      <c r="E523" s="72" t="n"/>
      <c r="N523" s="72" t="n"/>
      <c r="O523" s="72" t="n"/>
    </row>
    <row r="524">
      <c r="E524" s="72" t="n"/>
      <c r="N524" s="72" t="n"/>
      <c r="O524" s="72" t="n"/>
    </row>
    <row r="525">
      <c r="E525" s="72" t="n"/>
      <c r="N525" s="72" t="n"/>
      <c r="O525" s="72" t="n"/>
    </row>
    <row r="526">
      <c r="E526" s="72" t="n"/>
      <c r="N526" s="72" t="n"/>
      <c r="O526" s="72" t="n"/>
    </row>
    <row r="527">
      <c r="E527" s="72" t="n"/>
      <c r="N527" s="72" t="n"/>
      <c r="O527" s="72" t="n"/>
    </row>
    <row r="528">
      <c r="E528" s="72" t="n"/>
      <c r="N528" s="72" t="n"/>
      <c r="O528" s="72" t="n"/>
    </row>
    <row r="529">
      <c r="E529" s="72" t="n"/>
      <c r="N529" s="72" t="n"/>
      <c r="O529" s="72" t="n"/>
    </row>
    <row r="530">
      <c r="E530" s="72" t="n"/>
      <c r="N530" s="72" t="n"/>
      <c r="O530" s="72" t="n"/>
    </row>
    <row r="531">
      <c r="E531" s="72" t="n"/>
      <c r="N531" s="72" t="n"/>
      <c r="O531" s="72" t="n"/>
    </row>
    <row r="532">
      <c r="E532" s="72" t="n"/>
      <c r="N532" s="72" t="n"/>
      <c r="O532" s="72" t="n"/>
    </row>
    <row r="533">
      <c r="E533" s="72" t="n"/>
      <c r="N533" s="72" t="n"/>
      <c r="O533" s="72" t="n"/>
    </row>
    <row r="534">
      <c r="E534" s="72" t="n"/>
      <c r="N534" s="72" t="n"/>
      <c r="O534" s="72" t="n"/>
    </row>
    <row r="535">
      <c r="E535" s="72" t="n"/>
      <c r="N535" s="72" t="n"/>
      <c r="O535" s="72" t="n"/>
    </row>
    <row r="536">
      <c r="E536" s="72" t="n"/>
      <c r="N536" s="72" t="n"/>
      <c r="O536" s="72" t="n"/>
    </row>
    <row r="537">
      <c r="E537" s="72" t="n"/>
      <c r="N537" s="72" t="n"/>
      <c r="O537" s="72" t="n"/>
    </row>
    <row r="538">
      <c r="E538" s="72" t="n"/>
      <c r="N538" s="72" t="n"/>
      <c r="O538" s="72" t="n"/>
    </row>
    <row r="539">
      <c r="E539" s="72" t="n"/>
      <c r="N539" s="72" t="n"/>
      <c r="O539" s="72" t="n"/>
    </row>
    <row r="540">
      <c r="E540" s="72" t="n"/>
      <c r="N540" s="72" t="n"/>
      <c r="O540" s="72" t="n"/>
    </row>
    <row r="541">
      <c r="E541" s="72" t="n"/>
      <c r="N541" s="72" t="n"/>
      <c r="O541" s="72" t="n"/>
    </row>
    <row r="542">
      <c r="E542" s="72" t="n"/>
      <c r="N542" s="72" t="n"/>
      <c r="O542" s="72" t="n"/>
    </row>
    <row r="543">
      <c r="E543" s="72" t="n"/>
      <c r="N543" s="72" t="n"/>
      <c r="O543" s="72" t="n"/>
    </row>
    <row r="544">
      <c r="E544" s="72" t="n"/>
      <c r="N544" s="72" t="n"/>
      <c r="O544" s="72" t="n"/>
    </row>
    <row r="545">
      <c r="E545" s="72" t="n"/>
      <c r="N545" s="72" t="n"/>
      <c r="O545" s="72" t="n"/>
    </row>
    <row r="546">
      <c r="E546" s="72" t="n"/>
      <c r="N546" s="72" t="n"/>
      <c r="O546" s="72" t="n"/>
    </row>
    <row r="547">
      <c r="E547" s="72" t="n"/>
      <c r="N547" s="72" t="n"/>
      <c r="O547" s="72" t="n"/>
    </row>
    <row r="548">
      <c r="E548" s="72" t="n"/>
      <c r="N548" s="72" t="n"/>
      <c r="O548" s="72" t="n"/>
    </row>
    <row r="549">
      <c r="E549" s="72" t="n"/>
      <c r="N549" s="72" t="n"/>
      <c r="O549" s="72" t="n"/>
    </row>
    <row r="550">
      <c r="E550" s="72" t="n"/>
      <c r="N550" s="72" t="n"/>
      <c r="O550" s="72" t="n"/>
    </row>
    <row r="551">
      <c r="E551" s="72" t="n"/>
      <c r="N551" s="72" t="n"/>
      <c r="O551" s="72" t="n"/>
    </row>
    <row r="552">
      <c r="E552" s="72" t="n"/>
      <c r="N552" s="72" t="n"/>
      <c r="O552" s="72" t="n"/>
    </row>
    <row r="553">
      <c r="E553" s="72" t="n"/>
      <c r="N553" s="72" t="n"/>
      <c r="O553" s="72" t="n"/>
    </row>
    <row r="554">
      <c r="E554" s="72" t="n"/>
      <c r="N554" s="72" t="n"/>
      <c r="O554" s="72" t="n"/>
    </row>
    <row r="555">
      <c r="E555" s="72" t="n"/>
      <c r="N555" s="72" t="n"/>
      <c r="O555" s="72" t="n"/>
    </row>
    <row r="556">
      <c r="E556" s="72" t="n"/>
      <c r="N556" s="72" t="n"/>
      <c r="O556" s="72" t="n"/>
    </row>
    <row r="557">
      <c r="E557" s="72" t="n"/>
      <c r="N557" s="72" t="n"/>
      <c r="O557" s="72" t="n"/>
    </row>
    <row r="558">
      <c r="E558" s="72" t="n"/>
      <c r="N558" s="72" t="n"/>
      <c r="O558" s="72" t="n"/>
    </row>
    <row r="559">
      <c r="E559" s="72" t="n"/>
      <c r="N559" s="72" t="n"/>
      <c r="O559" s="72" t="n"/>
    </row>
    <row r="560">
      <c r="E560" s="72" t="n"/>
      <c r="N560" s="72" t="n"/>
      <c r="O560" s="72" t="n"/>
    </row>
    <row r="561">
      <c r="E561" s="72" t="n"/>
      <c r="N561" s="72" t="n"/>
      <c r="O561" s="72" t="n"/>
    </row>
    <row r="562">
      <c r="E562" s="72" t="n"/>
      <c r="N562" s="72" t="n"/>
      <c r="O562" s="72" t="n"/>
    </row>
    <row r="563">
      <c r="E563" s="72" t="n"/>
      <c r="N563" s="72" t="n"/>
      <c r="O563" s="72" t="n"/>
    </row>
    <row r="564">
      <c r="E564" s="72" t="n"/>
      <c r="N564" s="72" t="n"/>
      <c r="O564" s="72" t="n"/>
    </row>
    <row r="565">
      <c r="E565" s="72" t="n"/>
      <c r="N565" s="72" t="n"/>
      <c r="O565" s="72" t="n"/>
    </row>
    <row r="566">
      <c r="E566" s="72" t="n"/>
      <c r="N566" s="72" t="n"/>
      <c r="O566" s="72" t="n"/>
    </row>
    <row r="567">
      <c r="E567" s="72" t="n"/>
      <c r="N567" s="72" t="n"/>
      <c r="O567" s="72" t="n"/>
    </row>
    <row r="568">
      <c r="E568" s="72" t="n"/>
      <c r="N568" s="72" t="n"/>
      <c r="O568" s="72" t="n"/>
    </row>
    <row r="569">
      <c r="E569" s="72" t="n"/>
      <c r="N569" s="72" t="n"/>
      <c r="O569" s="72" t="n"/>
    </row>
    <row r="570">
      <c r="E570" s="72" t="n"/>
      <c r="N570" s="72" t="n"/>
      <c r="O570" s="72" t="n"/>
    </row>
    <row r="571">
      <c r="E571" s="72" t="n"/>
      <c r="N571" s="72" t="n"/>
      <c r="O571" s="72" t="n"/>
    </row>
    <row r="572">
      <c r="E572" s="72" t="n"/>
      <c r="N572" s="72" t="n"/>
      <c r="O572" s="72" t="n"/>
    </row>
    <row r="573">
      <c r="E573" s="72" t="n"/>
      <c r="N573" s="72" t="n"/>
      <c r="O573" s="72" t="n"/>
    </row>
    <row r="574">
      <c r="E574" s="72" t="n"/>
      <c r="N574" s="72" t="n"/>
      <c r="O574" s="72" t="n"/>
    </row>
    <row r="575">
      <c r="E575" s="72" t="n"/>
      <c r="N575" s="72" t="n"/>
      <c r="O575" s="72" t="n"/>
    </row>
    <row r="576">
      <c r="E576" s="72" t="n"/>
      <c r="N576" s="72" t="n"/>
      <c r="O576" s="72" t="n"/>
    </row>
    <row r="577">
      <c r="E577" s="72" t="n"/>
      <c r="N577" s="72" t="n"/>
      <c r="O577" s="72" t="n"/>
    </row>
    <row r="578">
      <c r="E578" s="72" t="n"/>
      <c r="N578" s="72" t="n"/>
      <c r="O578" s="72" t="n"/>
    </row>
    <row r="579">
      <c r="E579" s="72" t="n"/>
      <c r="N579" s="72" t="n"/>
      <c r="O579" s="72" t="n"/>
    </row>
    <row r="580">
      <c r="E580" s="72" t="n"/>
      <c r="N580" s="72" t="n"/>
      <c r="O580" s="72" t="n"/>
    </row>
    <row r="581">
      <c r="E581" s="72" t="n"/>
      <c r="N581" s="72" t="n"/>
      <c r="O581" s="72" t="n"/>
    </row>
    <row r="582">
      <c r="E582" s="72" t="n"/>
      <c r="N582" s="72" t="n"/>
      <c r="O582" s="72" t="n"/>
    </row>
    <row r="583">
      <c r="E583" s="72" t="n"/>
      <c r="N583" s="72" t="n"/>
      <c r="O583" s="72" t="n"/>
    </row>
    <row r="584">
      <c r="E584" s="72" t="n"/>
      <c r="N584" s="72" t="n"/>
      <c r="O584" s="72" t="n"/>
    </row>
    <row r="585">
      <c r="E585" s="72" t="n"/>
      <c r="N585" s="72" t="n"/>
      <c r="O585" s="72" t="n"/>
    </row>
    <row r="586">
      <c r="E586" s="72" t="n"/>
      <c r="N586" s="72" t="n"/>
      <c r="O586" s="72" t="n"/>
    </row>
    <row r="587">
      <c r="E587" s="72" t="n"/>
      <c r="N587" s="72" t="n"/>
      <c r="O587" s="72" t="n"/>
    </row>
    <row r="588">
      <c r="E588" s="72" t="n"/>
      <c r="N588" s="72" t="n"/>
      <c r="O588" s="72" t="n"/>
    </row>
    <row r="589">
      <c r="E589" s="72" t="n"/>
      <c r="N589" s="72" t="n"/>
      <c r="O589" s="72" t="n"/>
    </row>
    <row r="590">
      <c r="E590" s="72" t="n"/>
      <c r="N590" s="72" t="n"/>
      <c r="O590" s="72" t="n"/>
    </row>
    <row r="591">
      <c r="E591" s="72" t="n"/>
      <c r="N591" s="72" t="n"/>
      <c r="O591" s="72" t="n"/>
    </row>
    <row r="592">
      <c r="E592" s="72" t="n"/>
      <c r="N592" s="72" t="n"/>
      <c r="O592" s="72" t="n"/>
    </row>
    <row r="593">
      <c r="E593" s="72" t="n"/>
      <c r="N593" s="72" t="n"/>
      <c r="O593" s="72" t="n"/>
    </row>
    <row r="594">
      <c r="E594" s="72" t="n"/>
      <c r="N594" s="72" t="n"/>
      <c r="O594" s="72" t="n"/>
    </row>
    <row r="595">
      <c r="E595" s="72" t="n"/>
      <c r="N595" s="72" t="n"/>
      <c r="O595" s="72" t="n"/>
    </row>
    <row r="596">
      <c r="E596" s="72" t="n"/>
      <c r="N596" s="72" t="n"/>
      <c r="O596" s="72" t="n"/>
    </row>
    <row r="597">
      <c r="E597" s="72" t="n"/>
      <c r="N597" s="72" t="n"/>
      <c r="O597" s="72" t="n"/>
    </row>
    <row r="598">
      <c r="E598" s="72" t="n"/>
      <c r="N598" s="72" t="n"/>
      <c r="O598" s="72" t="n"/>
    </row>
    <row r="599">
      <c r="E599" s="72" t="n"/>
      <c r="N599" s="72" t="n"/>
      <c r="O599" s="72" t="n"/>
    </row>
    <row r="600">
      <c r="E600" s="72" t="n"/>
      <c r="N600" s="72" t="n"/>
      <c r="O600" s="72" t="n"/>
    </row>
    <row r="601">
      <c r="E601" s="72" t="n"/>
      <c r="N601" s="72" t="n"/>
      <c r="O601" s="72" t="n"/>
    </row>
    <row r="602">
      <c r="E602" s="72" t="n"/>
      <c r="N602" s="72" t="n"/>
      <c r="O602" s="72" t="n"/>
    </row>
    <row r="603">
      <c r="E603" s="72" t="n"/>
      <c r="N603" s="72" t="n"/>
      <c r="O603" s="72" t="n"/>
    </row>
    <row r="604">
      <c r="E604" s="72" t="n"/>
      <c r="N604" s="72" t="n"/>
      <c r="O604" s="72" t="n"/>
    </row>
    <row r="605">
      <c r="E605" s="72" t="n"/>
      <c r="N605" s="72" t="n"/>
      <c r="O605" s="72" t="n"/>
    </row>
    <row r="606">
      <c r="E606" s="72" t="n"/>
      <c r="N606" s="72" t="n"/>
      <c r="O606" s="72" t="n"/>
    </row>
    <row r="607">
      <c r="E607" s="72" t="n"/>
      <c r="N607" s="72" t="n"/>
      <c r="O607" s="72" t="n"/>
    </row>
    <row r="608">
      <c r="E608" s="72" t="n"/>
      <c r="N608" s="72" t="n"/>
      <c r="O608" s="72" t="n"/>
    </row>
    <row r="609">
      <c r="E609" s="72" t="n"/>
      <c r="N609" s="72" t="n"/>
      <c r="O609" s="72" t="n"/>
    </row>
    <row r="610">
      <c r="E610" s="72" t="n"/>
      <c r="N610" s="72" t="n"/>
      <c r="O610" s="72" t="n"/>
    </row>
    <row r="611">
      <c r="E611" s="72" t="n"/>
      <c r="N611" s="72" t="n"/>
      <c r="O611" s="72" t="n"/>
    </row>
    <row r="612">
      <c r="E612" s="72" t="n"/>
      <c r="N612" s="72" t="n"/>
      <c r="O612" s="72" t="n"/>
    </row>
    <row r="613">
      <c r="E613" s="72" t="n"/>
      <c r="N613" s="72" t="n"/>
      <c r="O613" s="72" t="n"/>
    </row>
    <row r="614">
      <c r="E614" s="72" t="n"/>
      <c r="N614" s="72" t="n"/>
      <c r="O614" s="72" t="n"/>
    </row>
    <row r="615">
      <c r="E615" s="72" t="n"/>
      <c r="N615" s="72" t="n"/>
      <c r="O615" s="72" t="n"/>
    </row>
    <row r="616">
      <c r="E616" s="72" t="n"/>
      <c r="N616" s="72" t="n"/>
      <c r="O616" s="72" t="n"/>
    </row>
    <row r="617">
      <c r="E617" s="72" t="n"/>
      <c r="N617" s="72" t="n"/>
      <c r="O617" s="72" t="n"/>
    </row>
    <row r="618">
      <c r="E618" s="72" t="n"/>
      <c r="N618" s="72" t="n"/>
      <c r="O618" s="72" t="n"/>
    </row>
    <row r="619">
      <c r="E619" s="72" t="n"/>
      <c r="N619" s="72" t="n"/>
      <c r="O619" s="72" t="n"/>
    </row>
    <row r="620">
      <c r="E620" s="72" t="n"/>
      <c r="N620" s="72" t="n"/>
      <c r="O620" s="72" t="n"/>
    </row>
    <row r="621">
      <c r="E621" s="72" t="n"/>
      <c r="N621" s="72" t="n"/>
      <c r="O621" s="72" t="n"/>
    </row>
    <row r="622">
      <c r="E622" s="72" t="n"/>
      <c r="N622" s="72" t="n"/>
      <c r="O622" s="72" t="n"/>
    </row>
    <row r="623">
      <c r="E623" s="72" t="n"/>
      <c r="N623" s="72" t="n"/>
      <c r="O623" s="72" t="n"/>
    </row>
    <row r="624">
      <c r="E624" s="72" t="n"/>
      <c r="N624" s="72" t="n"/>
      <c r="O624" s="72" t="n"/>
    </row>
    <row r="625">
      <c r="E625" s="72" t="n"/>
      <c r="N625" s="72" t="n"/>
      <c r="O625" s="72" t="n"/>
    </row>
    <row r="626">
      <c r="E626" s="72" t="n"/>
      <c r="N626" s="72" t="n"/>
      <c r="O626" s="72" t="n"/>
    </row>
    <row r="627">
      <c r="E627" s="72" t="n"/>
      <c r="N627" s="72" t="n"/>
      <c r="O627" s="72" t="n"/>
    </row>
    <row r="628">
      <c r="E628" s="72" t="n"/>
      <c r="N628" s="72" t="n"/>
      <c r="O628" s="72" t="n"/>
    </row>
    <row r="629">
      <c r="E629" s="72" t="n"/>
      <c r="N629" s="72" t="n"/>
      <c r="O629" s="72" t="n"/>
    </row>
    <row r="630">
      <c r="E630" s="72" t="n"/>
      <c r="N630" s="72" t="n"/>
      <c r="O630" s="72" t="n"/>
    </row>
    <row r="631">
      <c r="E631" s="72" t="n"/>
      <c r="N631" s="72" t="n"/>
      <c r="O631" s="72" t="n"/>
    </row>
    <row r="632">
      <c r="E632" s="72" t="n"/>
      <c r="N632" s="72" t="n"/>
      <c r="O632" s="72" t="n"/>
    </row>
    <row r="633">
      <c r="E633" s="72" t="n"/>
      <c r="N633" s="72" t="n"/>
      <c r="O633" s="72" t="n"/>
    </row>
    <row r="634">
      <c r="E634" s="72" t="n"/>
      <c r="N634" s="72" t="n"/>
      <c r="O634" s="72" t="n"/>
    </row>
    <row r="635">
      <c r="E635" s="72" t="n"/>
      <c r="N635" s="72" t="n"/>
      <c r="O635" s="72" t="n"/>
    </row>
    <row r="636">
      <c r="E636" s="72" t="n"/>
      <c r="N636" s="72" t="n"/>
      <c r="O636" s="72" t="n"/>
    </row>
    <row r="637">
      <c r="E637" s="72" t="n"/>
      <c r="N637" s="72" t="n"/>
      <c r="O637" s="72" t="n"/>
    </row>
    <row r="638">
      <c r="E638" s="72" t="n"/>
      <c r="N638" s="72" t="n"/>
      <c r="O638" s="72" t="n"/>
    </row>
    <row r="639">
      <c r="E639" s="72" t="n"/>
      <c r="N639" s="72" t="n"/>
      <c r="O639" s="72" t="n"/>
    </row>
    <row r="640">
      <c r="E640" s="72" t="n"/>
      <c r="N640" s="72" t="n"/>
      <c r="O640" s="72" t="n"/>
    </row>
    <row r="641">
      <c r="E641" s="72" t="n"/>
      <c r="N641" s="72" t="n"/>
      <c r="O641" s="72" t="n"/>
    </row>
    <row r="642">
      <c r="E642" s="72" t="n"/>
      <c r="N642" s="72" t="n"/>
      <c r="O642" s="72" t="n"/>
    </row>
    <row r="643">
      <c r="E643" s="72" t="n"/>
      <c r="N643" s="72" t="n"/>
      <c r="O643" s="72" t="n"/>
    </row>
    <row r="644">
      <c r="E644" s="72" t="n"/>
      <c r="N644" s="72" t="n"/>
      <c r="O644" s="72" t="n"/>
    </row>
    <row r="645">
      <c r="E645" s="72" t="n"/>
      <c r="N645" s="72" t="n"/>
      <c r="O645" s="72" t="n"/>
    </row>
    <row r="646">
      <c r="E646" s="72" t="n"/>
      <c r="N646" s="72" t="n"/>
      <c r="O646" s="72" t="n"/>
    </row>
    <row r="647">
      <c r="E647" s="72" t="n"/>
      <c r="N647" s="72" t="n"/>
      <c r="O647" s="72" t="n"/>
    </row>
    <row r="648">
      <c r="E648" s="72" t="n"/>
      <c r="N648" s="72" t="n"/>
      <c r="O648" s="72" t="n"/>
    </row>
    <row r="649">
      <c r="E649" s="72" t="n"/>
      <c r="N649" s="72" t="n"/>
      <c r="O649" s="72" t="n"/>
    </row>
    <row r="650">
      <c r="E650" s="72" t="n"/>
      <c r="N650" s="72" t="n"/>
      <c r="O650" s="72" t="n"/>
    </row>
    <row r="651">
      <c r="E651" s="72" t="n"/>
      <c r="N651" s="72" t="n"/>
      <c r="O651" s="72" t="n"/>
    </row>
    <row r="652">
      <c r="E652" s="72" t="n"/>
      <c r="N652" s="72" t="n"/>
      <c r="O652" s="72" t="n"/>
    </row>
    <row r="653">
      <c r="E653" s="72" t="n"/>
      <c r="N653" s="72" t="n"/>
      <c r="O653" s="72" t="n"/>
    </row>
    <row r="654">
      <c r="E654" s="72" t="n"/>
      <c r="N654" s="72" t="n"/>
      <c r="O654" s="72" t="n"/>
    </row>
    <row r="655">
      <c r="E655" s="72" t="n"/>
      <c r="N655" s="72" t="n"/>
      <c r="O655" s="72" t="n"/>
    </row>
    <row r="656">
      <c r="E656" s="72" t="n"/>
      <c r="N656" s="72" t="n"/>
      <c r="O656" s="72" t="n"/>
    </row>
    <row r="657">
      <c r="E657" s="72" t="n"/>
      <c r="N657" s="72" t="n"/>
      <c r="O657" s="72" t="n"/>
    </row>
    <row r="658">
      <c r="E658" s="72" t="n"/>
      <c r="N658" s="72" t="n"/>
      <c r="O658" s="72" t="n"/>
    </row>
    <row r="659">
      <c r="E659" s="72" t="n"/>
      <c r="N659" s="72" t="n"/>
      <c r="O659" s="72" t="n"/>
    </row>
    <row r="660">
      <c r="E660" s="72" t="n"/>
      <c r="N660" s="72" t="n"/>
      <c r="O660" s="72" t="n"/>
    </row>
    <row r="661">
      <c r="E661" s="72" t="n"/>
      <c r="N661" s="72" t="n"/>
      <c r="O661" s="72" t="n"/>
    </row>
    <row r="662">
      <c r="E662" s="72" t="n"/>
      <c r="N662" s="72" t="n"/>
      <c r="O662" s="72" t="n"/>
    </row>
    <row r="663">
      <c r="E663" s="72" t="n"/>
      <c r="N663" s="72" t="n"/>
      <c r="O663" s="72" t="n"/>
    </row>
    <row r="664">
      <c r="E664" s="72" t="n"/>
      <c r="N664" s="72" t="n"/>
      <c r="O664" s="72" t="n"/>
    </row>
    <row r="665">
      <c r="E665" s="72" t="n"/>
      <c r="N665" s="72" t="n"/>
      <c r="O665" s="72" t="n"/>
    </row>
    <row r="666">
      <c r="E666" s="72" t="n"/>
      <c r="N666" s="72" t="n"/>
      <c r="O666" s="72" t="n"/>
    </row>
    <row r="667">
      <c r="E667" s="72" t="n"/>
      <c r="N667" s="72" t="n"/>
      <c r="O667" s="72" t="n"/>
    </row>
    <row r="668">
      <c r="E668" s="72" t="n"/>
      <c r="N668" s="72" t="n"/>
      <c r="O668" s="72" t="n"/>
    </row>
    <row r="669">
      <c r="E669" s="72" t="n"/>
      <c r="N669" s="72" t="n"/>
      <c r="O669" s="72" t="n"/>
    </row>
    <row r="670">
      <c r="E670" s="72" t="n"/>
      <c r="N670" s="72" t="n"/>
      <c r="O670" s="72" t="n"/>
    </row>
    <row r="671">
      <c r="E671" s="72" t="n"/>
      <c r="N671" s="72" t="n"/>
      <c r="O671" s="72" t="n"/>
    </row>
    <row r="672">
      <c r="E672" s="72" t="n"/>
      <c r="N672" s="72" t="n"/>
      <c r="O672" s="72" t="n"/>
    </row>
    <row r="673">
      <c r="E673" s="72" t="n"/>
      <c r="N673" s="72" t="n"/>
      <c r="O673" s="72" t="n"/>
    </row>
    <row r="674">
      <c r="E674" s="72" t="n"/>
      <c r="N674" s="72" t="n"/>
      <c r="O674" s="72" t="n"/>
    </row>
    <row r="675">
      <c r="E675" s="72" t="n"/>
      <c r="N675" s="72" t="n"/>
      <c r="O675" s="72" t="n"/>
    </row>
    <row r="676">
      <c r="E676" s="72" t="n"/>
      <c r="N676" s="72" t="n"/>
      <c r="O676" s="72" t="n"/>
    </row>
    <row r="677">
      <c r="E677" s="72" t="n"/>
      <c r="N677" s="72" t="n"/>
      <c r="O677" s="72" t="n"/>
    </row>
    <row r="678">
      <c r="E678" s="72" t="n"/>
      <c r="N678" s="72" t="n"/>
      <c r="O678" s="72" t="n"/>
    </row>
    <row r="679">
      <c r="E679" s="72" t="n"/>
      <c r="N679" s="72" t="n"/>
      <c r="O679" s="72" t="n"/>
    </row>
    <row r="680">
      <c r="E680" s="72" t="n"/>
      <c r="N680" s="72" t="n"/>
      <c r="O680" s="72" t="n"/>
    </row>
    <row r="681">
      <c r="E681" s="72" t="n"/>
      <c r="N681" s="72" t="n"/>
      <c r="O681" s="72" t="n"/>
    </row>
    <row r="682">
      <c r="E682" s="72" t="n"/>
      <c r="N682" s="72" t="n"/>
      <c r="O682" s="72" t="n"/>
    </row>
    <row r="683">
      <c r="E683" s="72" t="n"/>
      <c r="N683" s="72" t="n"/>
      <c r="O683" s="72" t="n"/>
    </row>
    <row r="684">
      <c r="E684" s="72" t="n"/>
      <c r="N684" s="72" t="n"/>
      <c r="O684" s="72" t="n"/>
    </row>
    <row r="685">
      <c r="E685" s="72" t="n"/>
      <c r="N685" s="72" t="n"/>
      <c r="O685" s="72" t="n"/>
    </row>
    <row r="686">
      <c r="E686" s="72" t="n"/>
      <c r="N686" s="72" t="n"/>
      <c r="O686" s="72" t="n"/>
    </row>
    <row r="687">
      <c r="E687" s="72" t="n"/>
      <c r="N687" s="72" t="n"/>
      <c r="O687" s="72" t="n"/>
    </row>
    <row r="688">
      <c r="E688" s="72" t="n"/>
      <c r="N688" s="72" t="n"/>
      <c r="O688" s="72" t="n"/>
    </row>
    <row r="689">
      <c r="E689" s="72" t="n"/>
      <c r="N689" s="72" t="n"/>
      <c r="O689" s="72" t="n"/>
    </row>
    <row r="690">
      <c r="E690" s="72" t="n"/>
      <c r="N690" s="72" t="n"/>
      <c r="O690" s="72" t="n"/>
    </row>
    <row r="691">
      <c r="E691" s="72" t="n"/>
      <c r="N691" s="72" t="n"/>
      <c r="O691" s="72" t="n"/>
    </row>
    <row r="692">
      <c r="E692" s="72" t="n"/>
      <c r="N692" s="72" t="n"/>
      <c r="O692" s="72" t="n"/>
    </row>
    <row r="693">
      <c r="E693" s="72" t="n"/>
      <c r="N693" s="72" t="n"/>
      <c r="O693" s="72" t="n"/>
    </row>
    <row r="694">
      <c r="E694" s="72" t="n"/>
      <c r="N694" s="72" t="n"/>
      <c r="O694" s="72" t="n"/>
    </row>
    <row r="695">
      <c r="E695" s="72" t="n"/>
      <c r="N695" s="72" t="n"/>
      <c r="O695" s="72" t="n"/>
    </row>
    <row r="696">
      <c r="E696" s="72" t="n"/>
      <c r="N696" s="72" t="n"/>
      <c r="O696" s="72" t="n"/>
    </row>
    <row r="697">
      <c r="E697" s="72" t="n"/>
      <c r="N697" s="72" t="n"/>
      <c r="O697" s="72" t="n"/>
    </row>
    <row r="698">
      <c r="E698" s="72" t="n"/>
      <c r="N698" s="72" t="n"/>
      <c r="O698" s="72" t="n"/>
    </row>
    <row r="699">
      <c r="E699" s="72" t="n"/>
      <c r="N699" s="72" t="n"/>
      <c r="O699" s="72" t="n"/>
    </row>
    <row r="700">
      <c r="E700" s="72" t="n"/>
      <c r="N700" s="72" t="n"/>
      <c r="O700" s="72" t="n"/>
    </row>
    <row r="701">
      <c r="E701" s="72" t="n"/>
      <c r="N701" s="72" t="n"/>
      <c r="O701" s="72" t="n"/>
    </row>
    <row r="702">
      <c r="E702" s="72" t="n"/>
      <c r="N702" s="72" t="n"/>
      <c r="O702" s="72" t="n"/>
    </row>
    <row r="703">
      <c r="E703" s="72" t="n"/>
      <c r="N703" s="72" t="n"/>
      <c r="O703" s="72" t="n"/>
    </row>
    <row r="704">
      <c r="E704" s="72" t="n"/>
      <c r="N704" s="72" t="n"/>
      <c r="O704" s="72" t="n"/>
    </row>
    <row r="705">
      <c r="E705" s="72" t="n"/>
      <c r="N705" s="72" t="n"/>
      <c r="O705" s="72" t="n"/>
    </row>
    <row r="706">
      <c r="E706" s="72" t="n"/>
      <c r="N706" s="72" t="n"/>
      <c r="O706" s="72" t="n"/>
    </row>
    <row r="707">
      <c r="E707" s="72" t="n"/>
      <c r="N707" s="72" t="n"/>
      <c r="O707" s="72" t="n"/>
    </row>
    <row r="708">
      <c r="E708" s="72" t="n"/>
      <c r="N708" s="72" t="n"/>
      <c r="O708" s="72" t="n"/>
    </row>
    <row r="709">
      <c r="E709" s="72" t="n"/>
      <c r="N709" s="72" t="n"/>
      <c r="O709" s="72" t="n"/>
    </row>
    <row r="710">
      <c r="E710" s="72" t="n"/>
      <c r="N710" s="72" t="n"/>
      <c r="O710" s="72" t="n"/>
    </row>
    <row r="711">
      <c r="E711" s="72" t="n"/>
      <c r="N711" s="72" t="n"/>
      <c r="O711" s="72" t="n"/>
    </row>
    <row r="712">
      <c r="E712" s="72" t="n"/>
      <c r="N712" s="72" t="n"/>
      <c r="O712" s="72" t="n"/>
    </row>
    <row r="713">
      <c r="E713" s="72" t="n"/>
      <c r="N713" s="72" t="n"/>
      <c r="O713" s="72" t="n"/>
    </row>
    <row r="714">
      <c r="E714" s="72" t="n"/>
      <c r="N714" s="72" t="n"/>
      <c r="O714" s="72" t="n"/>
    </row>
    <row r="715">
      <c r="E715" s="72" t="n"/>
      <c r="N715" s="72" t="n"/>
      <c r="O715" s="72" t="n"/>
    </row>
    <row r="716">
      <c r="E716" s="72" t="n"/>
      <c r="N716" s="72" t="n"/>
      <c r="O716" s="72" t="n"/>
    </row>
    <row r="717">
      <c r="E717" s="72" t="n"/>
      <c r="N717" s="72" t="n"/>
      <c r="O717" s="72" t="n"/>
    </row>
    <row r="718">
      <c r="E718" s="72" t="n"/>
      <c r="N718" s="72" t="n"/>
      <c r="O718" s="72" t="n"/>
    </row>
    <row r="719">
      <c r="E719" s="72" t="n"/>
      <c r="N719" s="72" t="n"/>
      <c r="O719" s="72" t="n"/>
    </row>
    <row r="720">
      <c r="E720" s="72" t="n"/>
      <c r="N720" s="72" t="n"/>
      <c r="O720" s="72" t="n"/>
    </row>
    <row r="721">
      <c r="E721" s="72" t="n"/>
      <c r="N721" s="72" t="n"/>
      <c r="O721" s="72" t="n"/>
    </row>
    <row r="722">
      <c r="E722" s="72" t="n"/>
      <c r="N722" s="72" t="n"/>
      <c r="O722" s="72" t="n"/>
    </row>
    <row r="723">
      <c r="E723" s="72" t="n"/>
      <c r="N723" s="72" t="n"/>
      <c r="O723" s="72" t="n"/>
    </row>
    <row r="724">
      <c r="E724" s="72" t="n"/>
      <c r="N724" s="72" t="n"/>
      <c r="O724" s="72" t="n"/>
    </row>
    <row r="725">
      <c r="E725" s="72" t="n"/>
      <c r="N725" s="72" t="n"/>
      <c r="O725" s="72" t="n"/>
    </row>
    <row r="726">
      <c r="E726" s="72" t="n"/>
      <c r="N726" s="72" t="n"/>
      <c r="O726" s="72" t="n"/>
    </row>
    <row r="727">
      <c r="E727" s="72" t="n"/>
      <c r="N727" s="72" t="n"/>
      <c r="O727" s="72" t="n"/>
    </row>
    <row r="728">
      <c r="E728" s="72" t="n"/>
      <c r="N728" s="72" t="n"/>
      <c r="O728" s="72" t="n"/>
    </row>
    <row r="729">
      <c r="E729" s="72" t="n"/>
      <c r="N729" s="72" t="n"/>
      <c r="O729" s="72" t="n"/>
    </row>
    <row r="730">
      <c r="E730" s="72" t="n"/>
      <c r="N730" s="72" t="n"/>
      <c r="O730" s="72" t="n"/>
    </row>
    <row r="731">
      <c r="E731" s="72" t="n"/>
      <c r="N731" s="72" t="n"/>
      <c r="O731" s="72" t="n"/>
    </row>
    <row r="732">
      <c r="E732" s="72" t="n"/>
      <c r="N732" s="72" t="n"/>
      <c r="O732" s="72" t="n"/>
    </row>
    <row r="733">
      <c r="E733" s="72" t="n"/>
      <c r="N733" s="72" t="n"/>
      <c r="O733" s="72" t="n"/>
    </row>
    <row r="734">
      <c r="E734" s="72" t="n"/>
      <c r="N734" s="72" t="n"/>
      <c r="O734" s="72" t="n"/>
    </row>
    <row r="735">
      <c r="E735" s="72" t="n"/>
      <c r="N735" s="72" t="n"/>
      <c r="O735" s="72" t="n"/>
    </row>
    <row r="736">
      <c r="E736" s="72" t="n"/>
      <c r="N736" s="72" t="n"/>
      <c r="O736" s="72" t="n"/>
    </row>
    <row r="737">
      <c r="E737" s="72" t="n"/>
      <c r="N737" s="72" t="n"/>
      <c r="O737" s="72" t="n"/>
    </row>
    <row r="738">
      <c r="E738" s="72" t="n"/>
      <c r="N738" s="72" t="n"/>
      <c r="O738" s="72" t="n"/>
    </row>
    <row r="739">
      <c r="E739" s="72" t="n"/>
      <c r="N739" s="72" t="n"/>
      <c r="O739" s="72" t="n"/>
    </row>
    <row r="740">
      <c r="E740" s="72" t="n"/>
      <c r="N740" s="72" t="n"/>
      <c r="O740" s="72" t="n"/>
    </row>
    <row r="741">
      <c r="E741" s="72" t="n"/>
      <c r="N741" s="72" t="n"/>
      <c r="O741" s="72" t="n"/>
    </row>
    <row r="742">
      <c r="E742" s="72" t="n"/>
      <c r="N742" s="72" t="n"/>
      <c r="O742" s="72" t="n"/>
    </row>
    <row r="743">
      <c r="E743" s="72" t="n"/>
      <c r="N743" s="72" t="n"/>
      <c r="O743" s="72" t="n"/>
    </row>
    <row r="744">
      <c r="E744" s="72" t="n"/>
      <c r="N744" s="72" t="n"/>
      <c r="O744" s="72" t="n"/>
    </row>
    <row r="745">
      <c r="E745" s="72" t="n"/>
      <c r="N745" s="72" t="n"/>
      <c r="O745" s="72" t="n"/>
    </row>
    <row r="746">
      <c r="E746" s="72" t="n"/>
      <c r="N746" s="72" t="n"/>
      <c r="O746" s="72" t="n"/>
    </row>
    <row r="747">
      <c r="E747" s="72" t="n"/>
      <c r="N747" s="72" t="n"/>
      <c r="O747" s="72" t="n"/>
    </row>
    <row r="748">
      <c r="E748" s="72" t="n"/>
      <c r="N748" s="72" t="n"/>
      <c r="O748" s="72" t="n"/>
    </row>
    <row r="749">
      <c r="E749" s="72" t="n"/>
      <c r="N749" s="72" t="n"/>
      <c r="O749" s="72" t="n"/>
    </row>
    <row r="750">
      <c r="E750" s="72" t="n"/>
      <c r="N750" s="72" t="n"/>
      <c r="O750" s="72" t="n"/>
    </row>
    <row r="751">
      <c r="E751" s="72" t="n"/>
      <c r="N751" s="72" t="n"/>
      <c r="O751" s="72" t="n"/>
    </row>
    <row r="752">
      <c r="E752" s="72" t="n"/>
      <c r="N752" s="72" t="n"/>
      <c r="O752" s="72" t="n"/>
    </row>
    <row r="753">
      <c r="E753" s="72" t="n"/>
      <c r="N753" s="72" t="n"/>
      <c r="O753" s="72" t="n"/>
    </row>
    <row r="754">
      <c r="E754" s="72" t="n"/>
      <c r="N754" s="72" t="n"/>
      <c r="O754" s="72" t="n"/>
    </row>
    <row r="755">
      <c r="E755" s="72" t="n"/>
      <c r="N755" s="72" t="n"/>
      <c r="O755" s="72" t="n"/>
    </row>
    <row r="756">
      <c r="E756" s="72" t="n"/>
      <c r="N756" s="72" t="n"/>
      <c r="O756" s="72" t="n"/>
    </row>
    <row r="757">
      <c r="E757" s="72" t="n"/>
      <c r="N757" s="72" t="n"/>
      <c r="O757" s="72" t="n"/>
    </row>
    <row r="758">
      <c r="E758" s="72" t="n"/>
      <c r="N758" s="72" t="n"/>
      <c r="O758" s="72" t="n"/>
    </row>
    <row r="759">
      <c r="E759" s="72" t="n"/>
      <c r="N759" s="72" t="n"/>
      <c r="O759" s="72" t="n"/>
    </row>
    <row r="760">
      <c r="E760" s="72" t="n"/>
      <c r="N760" s="72" t="n"/>
      <c r="O760" s="72" t="n"/>
    </row>
    <row r="761">
      <c r="E761" s="72" t="n"/>
      <c r="N761" s="72" t="n"/>
      <c r="O761" s="72" t="n"/>
    </row>
    <row r="762">
      <c r="E762" s="72" t="n"/>
      <c r="N762" s="72" t="n"/>
      <c r="O762" s="72" t="n"/>
    </row>
    <row r="763">
      <c r="E763" s="72" t="n"/>
      <c r="N763" s="72" t="n"/>
      <c r="O763" s="72" t="n"/>
    </row>
    <row r="764">
      <c r="E764" s="72" t="n"/>
      <c r="N764" s="72" t="n"/>
      <c r="O764" s="72" t="n"/>
    </row>
    <row r="765">
      <c r="E765" s="72" t="n"/>
      <c r="N765" s="72" t="n"/>
      <c r="O765" s="72" t="n"/>
    </row>
    <row r="766">
      <c r="E766" s="72" t="n"/>
      <c r="N766" s="72" t="n"/>
      <c r="O766" s="72" t="n"/>
    </row>
    <row r="767">
      <c r="E767" s="72" t="n"/>
      <c r="N767" s="72" t="n"/>
      <c r="O767" s="72" t="n"/>
    </row>
    <row r="768">
      <c r="E768" s="72" t="n"/>
      <c r="N768" s="72" t="n"/>
      <c r="O768" s="72" t="n"/>
    </row>
    <row r="769">
      <c r="E769" s="72" t="n"/>
      <c r="N769" s="72" t="n"/>
      <c r="O769" s="72" t="n"/>
    </row>
    <row r="770">
      <c r="E770" s="72" t="n"/>
      <c r="N770" s="72" t="n"/>
      <c r="O770" s="72" t="n"/>
    </row>
    <row r="771">
      <c r="E771" s="72" t="n"/>
      <c r="N771" s="72" t="n"/>
      <c r="O771" s="72" t="n"/>
    </row>
    <row r="772">
      <c r="E772" s="72" t="n"/>
      <c r="N772" s="72" t="n"/>
      <c r="O772" s="72" t="n"/>
    </row>
    <row r="773">
      <c r="E773" s="72" t="n"/>
      <c r="N773" s="72" t="n"/>
      <c r="O773" s="72" t="n"/>
    </row>
    <row r="774">
      <c r="E774" s="72" t="n"/>
      <c r="N774" s="72" t="n"/>
      <c r="O774" s="72" t="n"/>
    </row>
    <row r="775">
      <c r="E775" s="72" t="n"/>
      <c r="N775" s="72" t="n"/>
      <c r="O775" s="72" t="n"/>
    </row>
    <row r="776">
      <c r="E776" s="72" t="n"/>
      <c r="N776" s="72" t="n"/>
      <c r="O776" s="72" t="n"/>
    </row>
    <row r="777">
      <c r="E777" s="72" t="n"/>
      <c r="N777" s="72" t="n"/>
      <c r="O777" s="72" t="n"/>
    </row>
    <row r="778">
      <c r="E778" s="72" t="n"/>
      <c r="N778" s="72" t="n"/>
      <c r="O778" s="72" t="n"/>
    </row>
    <row r="779">
      <c r="E779" s="72" t="n"/>
      <c r="N779" s="72" t="n"/>
      <c r="O779" s="72" t="n"/>
    </row>
    <row r="780">
      <c r="E780" s="72" t="n"/>
      <c r="N780" s="72" t="n"/>
      <c r="O780" s="72" t="n"/>
    </row>
    <row r="781">
      <c r="E781" s="72" t="n"/>
      <c r="N781" s="72" t="n"/>
      <c r="O781" s="72" t="n"/>
    </row>
    <row r="782">
      <c r="E782" s="72" t="n"/>
      <c r="N782" s="72" t="n"/>
      <c r="O782" s="72" t="n"/>
    </row>
    <row r="783">
      <c r="E783" s="72" t="n"/>
      <c r="N783" s="72" t="n"/>
      <c r="O783" s="72" t="n"/>
    </row>
    <row r="784">
      <c r="E784" s="72" t="n"/>
      <c r="N784" s="72" t="n"/>
      <c r="O784" s="72" t="n"/>
    </row>
    <row r="785">
      <c r="E785" s="72" t="n"/>
      <c r="N785" s="72" t="n"/>
      <c r="O785" s="72" t="n"/>
    </row>
    <row r="786">
      <c r="E786" s="72" t="n"/>
      <c r="N786" s="72" t="n"/>
      <c r="O786" s="72" t="n"/>
    </row>
    <row r="787">
      <c r="E787" s="72" t="n"/>
      <c r="N787" s="72" t="n"/>
      <c r="O787" s="72" t="n"/>
    </row>
    <row r="788">
      <c r="E788" s="72" t="n"/>
      <c r="N788" s="72" t="n"/>
      <c r="O788" s="72" t="n"/>
    </row>
    <row r="789">
      <c r="E789" s="72" t="n"/>
      <c r="N789" s="72" t="n"/>
      <c r="O789" s="72" t="n"/>
    </row>
    <row r="790">
      <c r="E790" s="72" t="n"/>
      <c r="N790" s="72" t="n"/>
      <c r="O790" s="72" t="n"/>
    </row>
    <row r="791">
      <c r="E791" s="72" t="n"/>
      <c r="N791" s="72" t="n"/>
      <c r="O791" s="72" t="n"/>
    </row>
    <row r="792">
      <c r="E792" s="72" t="n"/>
      <c r="N792" s="72" t="n"/>
      <c r="O792" s="72" t="n"/>
    </row>
    <row r="793">
      <c r="E793" s="72" t="n"/>
      <c r="N793" s="72" t="n"/>
      <c r="O793" s="72" t="n"/>
    </row>
    <row r="794">
      <c r="E794" s="72" t="n"/>
      <c r="N794" s="72" t="n"/>
      <c r="O794" s="72" t="n"/>
    </row>
    <row r="795">
      <c r="E795" s="72" t="n"/>
      <c r="N795" s="72" t="n"/>
      <c r="O795" s="72" t="n"/>
    </row>
    <row r="796">
      <c r="E796" s="72" t="n"/>
      <c r="N796" s="72" t="n"/>
      <c r="O796" s="72" t="n"/>
    </row>
    <row r="797">
      <c r="E797" s="72" t="n"/>
      <c r="N797" s="72" t="n"/>
      <c r="O797" s="72" t="n"/>
    </row>
    <row r="798">
      <c r="E798" s="72" t="n"/>
      <c r="N798" s="72" t="n"/>
      <c r="O798" s="72" t="n"/>
    </row>
    <row r="799">
      <c r="E799" s="72" t="n"/>
      <c r="N799" s="72" t="n"/>
      <c r="O799" s="72" t="n"/>
    </row>
    <row r="800">
      <c r="E800" s="72" t="n"/>
      <c r="N800" s="72" t="n"/>
      <c r="O800" s="72" t="n"/>
    </row>
    <row r="801">
      <c r="E801" s="72" t="n"/>
      <c r="N801" s="72" t="n"/>
      <c r="O801" s="72" t="n"/>
    </row>
    <row r="802">
      <c r="E802" s="72" t="n"/>
      <c r="N802" s="72" t="n"/>
      <c r="O802" s="72" t="n"/>
    </row>
    <row r="803">
      <c r="E803" s="72" t="n"/>
      <c r="N803" s="72" t="n"/>
      <c r="O803" s="72" t="n"/>
    </row>
    <row r="804">
      <c r="E804" s="72" t="n"/>
      <c r="N804" s="72" t="n"/>
      <c r="O804" s="72" t="n"/>
    </row>
    <row r="805">
      <c r="E805" s="72" t="n"/>
      <c r="N805" s="72" t="n"/>
      <c r="O805" s="72" t="n"/>
    </row>
    <row r="806">
      <c r="E806" s="72" t="n"/>
      <c r="N806" s="72" t="n"/>
      <c r="O806" s="72" t="n"/>
    </row>
    <row r="807">
      <c r="E807" s="72" t="n"/>
      <c r="N807" s="72" t="n"/>
      <c r="O807" s="72" t="n"/>
    </row>
    <row r="808">
      <c r="E808" s="72" t="n"/>
      <c r="N808" s="72" t="n"/>
      <c r="O808" s="72" t="n"/>
    </row>
    <row r="809">
      <c r="E809" s="72" t="n"/>
      <c r="N809" s="72" t="n"/>
      <c r="O809" s="72" t="n"/>
    </row>
    <row r="810">
      <c r="E810" s="72" t="n"/>
      <c r="N810" s="72" t="n"/>
      <c r="O810" s="72" t="n"/>
    </row>
    <row r="811">
      <c r="E811" s="72" t="n"/>
      <c r="N811" s="72" t="n"/>
      <c r="O811" s="72" t="n"/>
    </row>
    <row r="812">
      <c r="E812" s="72" t="n"/>
      <c r="N812" s="72" t="n"/>
      <c r="O812" s="72" t="n"/>
    </row>
    <row r="813">
      <c r="E813" s="72" t="n"/>
      <c r="N813" s="72" t="n"/>
      <c r="O813" s="72" t="n"/>
    </row>
    <row r="814">
      <c r="E814" s="72" t="n"/>
      <c r="N814" s="72" t="n"/>
      <c r="O814" s="72" t="n"/>
    </row>
    <row r="815">
      <c r="E815" s="72" t="n"/>
      <c r="N815" s="72" t="n"/>
      <c r="O815" s="72" t="n"/>
    </row>
    <row r="816">
      <c r="E816" s="72" t="n"/>
      <c r="N816" s="72" t="n"/>
      <c r="O816" s="72" t="n"/>
    </row>
    <row r="817">
      <c r="E817" s="72" t="n"/>
      <c r="N817" s="72" t="n"/>
      <c r="O817" s="72" t="n"/>
    </row>
    <row r="818">
      <c r="E818" s="72" t="n"/>
      <c r="N818" s="72" t="n"/>
      <c r="O818" s="72" t="n"/>
    </row>
    <row r="819">
      <c r="E819" s="72" t="n"/>
      <c r="N819" s="72" t="n"/>
      <c r="O819" s="72" t="n"/>
    </row>
    <row r="820">
      <c r="E820" s="72" t="n"/>
      <c r="N820" s="72" t="n"/>
      <c r="O820" s="72" t="n"/>
    </row>
    <row r="821">
      <c r="E821" s="72" t="n"/>
      <c r="N821" s="72" t="n"/>
      <c r="O821" s="72" t="n"/>
    </row>
    <row r="822">
      <c r="E822" s="72" t="n"/>
      <c r="N822" s="72" t="n"/>
      <c r="O822" s="72" t="n"/>
    </row>
    <row r="823">
      <c r="E823" s="72" t="n"/>
      <c r="N823" s="72" t="n"/>
      <c r="O823" s="72" t="n"/>
    </row>
    <row r="824">
      <c r="E824" s="72" t="n"/>
      <c r="N824" s="72" t="n"/>
      <c r="O824" s="72" t="n"/>
    </row>
    <row r="825">
      <c r="E825" s="72" t="n"/>
      <c r="N825" s="72" t="n"/>
      <c r="O825" s="72" t="n"/>
    </row>
    <row r="826">
      <c r="E826" s="72" t="n"/>
      <c r="N826" s="72" t="n"/>
      <c r="O826" s="72" t="n"/>
    </row>
    <row r="827">
      <c r="E827" s="72" t="n"/>
      <c r="N827" s="72" t="n"/>
      <c r="O827" s="72" t="n"/>
    </row>
    <row r="828">
      <c r="E828" s="72" t="n"/>
      <c r="N828" s="72" t="n"/>
      <c r="O828" s="72" t="n"/>
    </row>
    <row r="829">
      <c r="E829" s="72" t="n"/>
      <c r="N829" s="72" t="n"/>
      <c r="O829" s="72" t="n"/>
    </row>
    <row r="830">
      <c r="E830" s="72" t="n"/>
      <c r="N830" s="72" t="n"/>
      <c r="O830" s="72" t="n"/>
    </row>
    <row r="831">
      <c r="E831" s="72" t="n"/>
      <c r="N831" s="72" t="n"/>
      <c r="O831" s="72" t="n"/>
    </row>
    <row r="832">
      <c r="E832" s="72" t="n"/>
      <c r="N832" s="72" t="n"/>
      <c r="O832" s="72" t="n"/>
    </row>
    <row r="833">
      <c r="E833" s="72" t="n"/>
      <c r="N833" s="72" t="n"/>
      <c r="O833" s="72" t="n"/>
    </row>
    <row r="834">
      <c r="E834" s="72" t="n"/>
      <c r="N834" s="72" t="n"/>
      <c r="O834" s="72" t="n"/>
    </row>
    <row r="835">
      <c r="E835" s="72" t="n"/>
      <c r="N835" s="72" t="n"/>
      <c r="O835" s="72" t="n"/>
    </row>
    <row r="836">
      <c r="E836" s="72" t="n"/>
      <c r="N836" s="72" t="n"/>
      <c r="O836" s="72" t="n"/>
    </row>
    <row r="837">
      <c r="E837" s="72" t="n"/>
      <c r="N837" s="72" t="n"/>
      <c r="O837" s="72" t="n"/>
    </row>
    <row r="838">
      <c r="E838" s="72" t="n"/>
      <c r="N838" s="72" t="n"/>
      <c r="O838" s="72" t="n"/>
    </row>
    <row r="839">
      <c r="E839" s="72" t="n"/>
      <c r="N839" s="72" t="n"/>
      <c r="O839" s="72" t="n"/>
    </row>
    <row r="840">
      <c r="E840" s="72" t="n"/>
      <c r="N840" s="72" t="n"/>
      <c r="O840" s="72" t="n"/>
    </row>
    <row r="841">
      <c r="E841" s="72" t="n"/>
      <c r="N841" s="72" t="n"/>
      <c r="O841" s="72" t="n"/>
    </row>
    <row r="842">
      <c r="E842" s="72" t="n"/>
      <c r="N842" s="72" t="n"/>
      <c r="O842" s="72" t="n"/>
    </row>
    <row r="843">
      <c r="E843" s="72" t="n"/>
      <c r="N843" s="72" t="n"/>
      <c r="O843" s="72" t="n"/>
    </row>
    <row r="844">
      <c r="E844" s="72" t="n"/>
      <c r="N844" s="72" t="n"/>
      <c r="O844" s="72" t="n"/>
    </row>
    <row r="845">
      <c r="E845" s="72" t="n"/>
      <c r="N845" s="72" t="n"/>
      <c r="O845" s="72" t="n"/>
    </row>
    <row r="846">
      <c r="E846" s="72" t="n"/>
      <c r="N846" s="72" t="n"/>
      <c r="O846" s="72" t="n"/>
    </row>
    <row r="847">
      <c r="E847" s="72" t="n"/>
      <c r="N847" s="72" t="n"/>
      <c r="O847" s="72" t="n"/>
    </row>
    <row r="848">
      <c r="E848" s="72" t="n"/>
      <c r="N848" s="72" t="n"/>
      <c r="O848" s="72" t="n"/>
    </row>
    <row r="849">
      <c r="E849" s="72" t="n"/>
      <c r="N849" s="72" t="n"/>
      <c r="O849" s="72" t="n"/>
    </row>
    <row r="850">
      <c r="E850" s="72" t="n"/>
      <c r="N850" s="72" t="n"/>
      <c r="O850" s="72" t="n"/>
    </row>
    <row r="851">
      <c r="E851" s="72" t="n"/>
      <c r="N851" s="72" t="n"/>
      <c r="O851" s="72" t="n"/>
    </row>
    <row r="852">
      <c r="E852" s="72" t="n"/>
      <c r="N852" s="72" t="n"/>
      <c r="O852" s="72" t="n"/>
    </row>
    <row r="853">
      <c r="E853" s="72" t="n"/>
      <c r="N853" s="72" t="n"/>
      <c r="O853" s="72" t="n"/>
    </row>
    <row r="854">
      <c r="E854" s="72" t="n"/>
      <c r="N854" s="72" t="n"/>
      <c r="O854" s="72" t="n"/>
    </row>
    <row r="855">
      <c r="E855" s="72" t="n"/>
      <c r="N855" s="72" t="n"/>
      <c r="O855" s="72" t="n"/>
    </row>
    <row r="856">
      <c r="E856" s="72" t="n"/>
      <c r="N856" s="72" t="n"/>
      <c r="O856" s="72" t="n"/>
    </row>
    <row r="857">
      <c r="E857" s="72" t="n"/>
      <c r="N857" s="72" t="n"/>
      <c r="O857" s="72" t="n"/>
    </row>
    <row r="858">
      <c r="E858" s="72" t="n"/>
      <c r="N858" s="72" t="n"/>
      <c r="O858" s="72" t="n"/>
    </row>
    <row r="859">
      <c r="E859" s="72" t="n"/>
      <c r="N859" s="72" t="n"/>
      <c r="O859" s="72" t="n"/>
    </row>
    <row r="860">
      <c r="E860" s="72" t="n"/>
      <c r="N860" s="72" t="n"/>
      <c r="O860" s="72" t="n"/>
    </row>
    <row r="861">
      <c r="E861" s="72" t="n"/>
      <c r="N861" s="72" t="n"/>
      <c r="O861" s="72" t="n"/>
    </row>
    <row r="862">
      <c r="E862" s="72" t="n"/>
      <c r="N862" s="72" t="n"/>
      <c r="O862" s="72" t="n"/>
    </row>
    <row r="863">
      <c r="E863" s="72" t="n"/>
      <c r="N863" s="72" t="n"/>
      <c r="O863" s="72" t="n"/>
    </row>
    <row r="864">
      <c r="E864" s="72" t="n"/>
      <c r="N864" s="72" t="n"/>
      <c r="O864" s="72" t="n"/>
    </row>
    <row r="865">
      <c r="E865" s="72" t="n"/>
      <c r="N865" s="72" t="n"/>
      <c r="O865" s="72" t="n"/>
    </row>
    <row r="866">
      <c r="E866" s="72" t="n"/>
      <c r="N866" s="72" t="n"/>
      <c r="O866" s="72" t="n"/>
    </row>
    <row r="867">
      <c r="E867" s="72" t="n"/>
      <c r="N867" s="72" t="n"/>
      <c r="O867" s="72" t="n"/>
    </row>
    <row r="868">
      <c r="E868" s="72" t="n"/>
      <c r="N868" s="72" t="n"/>
      <c r="O868" s="72" t="n"/>
    </row>
    <row r="869">
      <c r="E869" s="72" t="n"/>
      <c r="N869" s="72" t="n"/>
      <c r="O869" s="72" t="n"/>
    </row>
    <row r="870">
      <c r="E870" s="72" t="n"/>
      <c r="N870" s="72" t="n"/>
      <c r="O870" s="72" t="n"/>
    </row>
    <row r="871">
      <c r="E871" s="72" t="n"/>
      <c r="N871" s="72" t="n"/>
      <c r="O871" s="72" t="n"/>
    </row>
    <row r="872">
      <c r="E872" s="72" t="n"/>
      <c r="N872" s="72" t="n"/>
      <c r="O872" s="72" t="n"/>
    </row>
    <row r="873">
      <c r="E873" s="72" t="n"/>
      <c r="N873" s="72" t="n"/>
      <c r="O873" s="72" t="n"/>
    </row>
    <row r="874">
      <c r="E874" s="72" t="n"/>
      <c r="N874" s="72" t="n"/>
      <c r="O874" s="72" t="n"/>
    </row>
    <row r="875">
      <c r="E875" s="72" t="n"/>
      <c r="N875" s="72" t="n"/>
      <c r="O875" s="72" t="n"/>
    </row>
    <row r="876">
      <c r="E876" s="72" t="n"/>
      <c r="N876" s="72" t="n"/>
      <c r="O876" s="72" t="n"/>
    </row>
    <row r="877">
      <c r="E877" s="72" t="n"/>
      <c r="N877" s="72" t="n"/>
      <c r="O877" s="72" t="n"/>
    </row>
    <row r="878">
      <c r="E878" s="72" t="n"/>
      <c r="N878" s="72" t="n"/>
      <c r="O878" s="72" t="n"/>
    </row>
    <row r="879">
      <c r="E879" s="72" t="n"/>
      <c r="N879" s="72" t="n"/>
      <c r="O879" s="72" t="n"/>
    </row>
    <row r="880">
      <c r="E880" s="72" t="n"/>
      <c r="N880" s="72" t="n"/>
      <c r="O880" s="72" t="n"/>
    </row>
    <row r="881">
      <c r="E881" s="72" t="n"/>
      <c r="N881" s="72" t="n"/>
      <c r="O881" s="72" t="n"/>
    </row>
    <row r="882">
      <c r="E882" s="72" t="n"/>
      <c r="N882" s="72" t="n"/>
      <c r="O882" s="72" t="n"/>
    </row>
    <row r="883">
      <c r="E883" s="72" t="n"/>
      <c r="N883" s="72" t="n"/>
      <c r="O883" s="72" t="n"/>
    </row>
    <row r="884">
      <c r="E884" s="72" t="n"/>
      <c r="N884" s="72" t="n"/>
      <c r="O884" s="72" t="n"/>
    </row>
    <row r="885">
      <c r="E885" s="72" t="n"/>
      <c r="N885" s="72" t="n"/>
      <c r="O885" s="72" t="n"/>
    </row>
    <row r="886">
      <c r="E886" s="72" t="n"/>
      <c r="N886" s="72" t="n"/>
      <c r="O886" s="72" t="n"/>
    </row>
    <row r="887">
      <c r="E887" s="72" t="n"/>
      <c r="N887" s="72" t="n"/>
      <c r="O887" s="72" t="n"/>
    </row>
    <row r="888">
      <c r="E888" s="72" t="n"/>
      <c r="N888" s="72" t="n"/>
      <c r="O888" s="72" t="n"/>
    </row>
    <row r="889">
      <c r="E889" s="72" t="n"/>
      <c r="N889" s="72" t="n"/>
      <c r="O889" s="72" t="n"/>
    </row>
    <row r="890">
      <c r="E890" s="72" t="n"/>
      <c r="N890" s="72" t="n"/>
      <c r="O890" s="72" t="n"/>
    </row>
    <row r="891">
      <c r="E891" s="72" t="n"/>
      <c r="N891" s="72" t="n"/>
      <c r="O891" s="72" t="n"/>
    </row>
    <row r="892">
      <c r="E892" s="72" t="n"/>
      <c r="N892" s="72" t="n"/>
      <c r="O892" s="72" t="n"/>
    </row>
    <row r="893">
      <c r="E893" s="72" t="n"/>
      <c r="N893" s="72" t="n"/>
      <c r="O893" s="72" t="n"/>
    </row>
    <row r="894">
      <c r="E894" s="72" t="n"/>
      <c r="N894" s="72" t="n"/>
      <c r="O894" s="72" t="n"/>
    </row>
    <row r="895">
      <c r="E895" s="72" t="n"/>
      <c r="N895" s="72" t="n"/>
      <c r="O895" s="72" t="n"/>
    </row>
    <row r="896">
      <c r="E896" s="72" t="n"/>
      <c r="N896" s="72" t="n"/>
      <c r="O896" s="72" t="n"/>
    </row>
    <row r="897">
      <c r="E897" s="72" t="n"/>
      <c r="N897" s="72" t="n"/>
      <c r="O897" s="72" t="n"/>
    </row>
    <row r="898">
      <c r="E898" s="72" t="n"/>
      <c r="N898" s="72" t="n"/>
      <c r="O898" s="72" t="n"/>
    </row>
    <row r="899">
      <c r="E899" s="72" t="n"/>
      <c r="N899" s="72" t="n"/>
      <c r="O899" s="72" t="n"/>
    </row>
    <row r="900">
      <c r="E900" s="72" t="n"/>
      <c r="N900" s="72" t="n"/>
      <c r="O900" s="72" t="n"/>
    </row>
    <row r="901">
      <c r="E901" s="72" t="n"/>
      <c r="N901" s="72" t="n"/>
      <c r="O901" s="72" t="n"/>
    </row>
    <row r="902">
      <c r="E902" s="72" t="n"/>
      <c r="N902" s="72" t="n"/>
      <c r="O902" s="72" t="n"/>
    </row>
    <row r="903">
      <c r="E903" s="72" t="n"/>
      <c r="N903" s="72" t="n"/>
      <c r="O903" s="72" t="n"/>
    </row>
    <row r="904">
      <c r="E904" s="72" t="n"/>
      <c r="N904" s="72" t="n"/>
      <c r="O904" s="72" t="n"/>
    </row>
    <row r="905">
      <c r="E905" s="72" t="n"/>
      <c r="N905" s="72" t="n"/>
      <c r="O905" s="72" t="n"/>
    </row>
    <row r="906">
      <c r="E906" s="72" t="n"/>
      <c r="N906" s="72" t="n"/>
      <c r="O906" s="72" t="n"/>
    </row>
    <row r="907">
      <c r="E907" s="72" t="n"/>
      <c r="N907" s="72" t="n"/>
      <c r="O907" s="72" t="n"/>
    </row>
    <row r="908">
      <c r="E908" s="72" t="n"/>
      <c r="N908" s="72" t="n"/>
      <c r="O908" s="72" t="n"/>
    </row>
    <row r="909">
      <c r="E909" s="72" t="n"/>
      <c r="N909" s="72" t="n"/>
      <c r="O909" s="72" t="n"/>
    </row>
    <row r="910">
      <c r="E910" s="72" t="n"/>
      <c r="N910" s="72" t="n"/>
      <c r="O910" s="72" t="n"/>
    </row>
    <row r="911">
      <c r="E911" s="72" t="n"/>
      <c r="N911" s="72" t="n"/>
      <c r="O911" s="72" t="n"/>
    </row>
    <row r="912">
      <c r="E912" s="72" t="n"/>
      <c r="N912" s="72" t="n"/>
      <c r="O912" s="72" t="n"/>
    </row>
    <row r="913">
      <c r="E913" s="72" t="n"/>
      <c r="N913" s="72" t="n"/>
      <c r="O913" s="72" t="n"/>
    </row>
    <row r="914">
      <c r="E914" s="72" t="n"/>
      <c r="N914" s="72" t="n"/>
      <c r="O914" s="72" t="n"/>
    </row>
    <row r="915">
      <c r="E915" s="72" t="n"/>
      <c r="N915" s="72" t="n"/>
      <c r="O915" s="72" t="n"/>
    </row>
    <row r="916">
      <c r="E916" s="72" t="n"/>
      <c r="N916" s="72" t="n"/>
      <c r="O916" s="72" t="n"/>
    </row>
    <row r="917">
      <c r="E917" s="72" t="n"/>
      <c r="N917" s="72" t="n"/>
      <c r="O917" s="72" t="n"/>
    </row>
    <row r="918">
      <c r="E918" s="72" t="n"/>
      <c r="N918" s="72" t="n"/>
      <c r="O918" s="72" t="n"/>
    </row>
    <row r="919">
      <c r="E919" s="72" t="n"/>
      <c r="N919" s="72" t="n"/>
      <c r="O919" s="72" t="n"/>
    </row>
    <row r="920">
      <c r="E920" s="72" t="n"/>
      <c r="N920" s="72" t="n"/>
      <c r="O920" s="72" t="n"/>
    </row>
    <row r="921">
      <c r="E921" s="72" t="n"/>
      <c r="N921" s="72" t="n"/>
      <c r="O921" s="72" t="n"/>
    </row>
    <row r="922">
      <c r="E922" s="72" t="n"/>
      <c r="N922" s="72" t="n"/>
      <c r="O922" s="72" t="n"/>
    </row>
    <row r="923">
      <c r="E923" s="72" t="n"/>
      <c r="N923" s="72" t="n"/>
      <c r="O923" s="72" t="n"/>
    </row>
    <row r="924">
      <c r="E924" s="72" t="n"/>
      <c r="N924" s="72" t="n"/>
      <c r="O924" s="72" t="n"/>
    </row>
    <row r="925">
      <c r="E925" s="72" t="n"/>
      <c r="N925" s="72" t="n"/>
      <c r="O925" s="72" t="n"/>
    </row>
    <row r="926">
      <c r="E926" s="72" t="n"/>
      <c r="N926" s="72" t="n"/>
      <c r="O926" s="72" t="n"/>
    </row>
    <row r="927">
      <c r="E927" s="72" t="n"/>
      <c r="N927" s="72" t="n"/>
      <c r="O927" s="72" t="n"/>
    </row>
    <row r="928">
      <c r="E928" s="72" t="n"/>
      <c r="N928" s="72" t="n"/>
      <c r="O928" s="72" t="n"/>
    </row>
    <row r="929">
      <c r="E929" s="72" t="n"/>
      <c r="N929" s="72" t="n"/>
      <c r="O929" s="72" t="n"/>
    </row>
    <row r="930">
      <c r="E930" s="72" t="n"/>
      <c r="N930" s="72" t="n"/>
      <c r="O930" s="72" t="n"/>
    </row>
    <row r="931">
      <c r="E931" s="72" t="n"/>
      <c r="N931" s="72" t="n"/>
      <c r="O931" s="72" t="n"/>
    </row>
    <row r="932">
      <c r="E932" s="72" t="n"/>
      <c r="N932" s="72" t="n"/>
      <c r="O932" s="72" t="n"/>
    </row>
    <row r="933">
      <c r="E933" s="72" t="n"/>
      <c r="N933" s="72" t="n"/>
      <c r="O933" s="72" t="n"/>
    </row>
    <row r="934">
      <c r="E934" s="72" t="n"/>
      <c r="N934" s="72" t="n"/>
      <c r="O934" s="72" t="n"/>
    </row>
    <row r="935">
      <c r="E935" s="72" t="n"/>
      <c r="N935" s="72" t="n"/>
      <c r="O935" s="72" t="n"/>
    </row>
    <row r="936">
      <c r="E936" s="72" t="n"/>
      <c r="N936" s="72" t="n"/>
      <c r="O936" s="72" t="n"/>
    </row>
    <row r="937">
      <c r="E937" s="72" t="n"/>
      <c r="N937" s="72" t="n"/>
      <c r="O937" s="72" t="n"/>
    </row>
    <row r="938">
      <c r="E938" s="72" t="n"/>
      <c r="N938" s="72" t="n"/>
      <c r="O938" s="72" t="n"/>
    </row>
    <row r="939">
      <c r="E939" s="72" t="n"/>
      <c r="N939" s="72" t="n"/>
      <c r="O939" s="72" t="n"/>
    </row>
    <row r="940">
      <c r="E940" s="72" t="n"/>
      <c r="N940" s="72" t="n"/>
      <c r="O940" s="72" t="n"/>
    </row>
    <row r="941">
      <c r="E941" s="72" t="n"/>
      <c r="N941" s="72" t="n"/>
      <c r="O941" s="72" t="n"/>
    </row>
    <row r="942">
      <c r="E942" s="72" t="n"/>
      <c r="N942" s="72" t="n"/>
      <c r="O942" s="72" t="n"/>
    </row>
    <row r="943">
      <c r="E943" s="72" t="n"/>
      <c r="N943" s="72" t="n"/>
      <c r="O943" s="72" t="n"/>
    </row>
    <row r="944">
      <c r="E944" s="72" t="n"/>
      <c r="N944" s="72" t="n"/>
      <c r="O944" s="72" t="n"/>
    </row>
    <row r="945">
      <c r="E945" s="72" t="n"/>
      <c r="N945" s="72" t="n"/>
      <c r="O945" s="72" t="n"/>
    </row>
    <row r="946">
      <c r="E946" s="72" t="n"/>
      <c r="N946" s="72" t="n"/>
      <c r="O946" s="72" t="n"/>
    </row>
    <row r="947">
      <c r="E947" s="72" t="n"/>
      <c r="N947" s="72" t="n"/>
      <c r="O947" s="72" t="n"/>
    </row>
    <row r="948">
      <c r="E948" s="72" t="n"/>
      <c r="N948" s="72" t="n"/>
      <c r="O948" s="72" t="n"/>
    </row>
    <row r="949">
      <c r="E949" s="72" t="n"/>
      <c r="N949" s="72" t="n"/>
      <c r="O949" s="72" t="n"/>
    </row>
    <row r="950">
      <c r="E950" s="72" t="n"/>
      <c r="N950" s="72" t="n"/>
      <c r="O950" s="72" t="n"/>
    </row>
    <row r="951">
      <c r="E951" s="72" t="n"/>
      <c r="N951" s="72" t="n"/>
      <c r="O951" s="72" t="n"/>
    </row>
    <row r="952">
      <c r="E952" s="72" t="n"/>
      <c r="N952" s="72" t="n"/>
      <c r="O952" s="72" t="n"/>
    </row>
    <row r="953">
      <c r="E953" s="72" t="n"/>
      <c r="N953" s="72" t="n"/>
      <c r="O953" s="72" t="n"/>
    </row>
    <row r="954">
      <c r="E954" s="72" t="n"/>
      <c r="N954" s="72" t="n"/>
      <c r="O954" s="72" t="n"/>
    </row>
    <row r="955">
      <c r="E955" s="72" t="n"/>
      <c r="N955" s="72" t="n"/>
      <c r="O955" s="72" t="n"/>
    </row>
    <row r="956">
      <c r="E956" s="72" t="n"/>
      <c r="N956" s="72" t="n"/>
      <c r="O956" s="72" t="n"/>
    </row>
    <row r="957">
      <c r="E957" s="72" t="n"/>
      <c r="N957" s="72" t="n"/>
      <c r="O957" s="72" t="n"/>
    </row>
    <row r="958">
      <c r="E958" s="72" t="n"/>
      <c r="N958" s="72" t="n"/>
      <c r="O958" s="72" t="n"/>
    </row>
    <row r="959">
      <c r="E959" s="72" t="n"/>
      <c r="N959" s="72" t="n"/>
      <c r="O959" s="72" t="n"/>
    </row>
    <row r="960">
      <c r="E960" s="72" t="n"/>
      <c r="N960" s="72" t="n"/>
      <c r="O960" s="72" t="n"/>
    </row>
    <row r="961">
      <c r="E961" s="72" t="n"/>
      <c r="N961" s="72" t="n"/>
      <c r="O961" s="72" t="n"/>
    </row>
    <row r="962">
      <c r="E962" s="72" t="n"/>
      <c r="N962" s="72" t="n"/>
      <c r="O962" s="72" t="n"/>
    </row>
    <row r="963">
      <c r="E963" s="72" t="n"/>
      <c r="N963" s="72" t="n"/>
      <c r="O963" s="72" t="n"/>
    </row>
    <row r="964">
      <c r="E964" s="72" t="n"/>
      <c r="N964" s="72" t="n"/>
      <c r="O964" s="72" t="n"/>
    </row>
    <row r="965">
      <c r="E965" s="72" t="n"/>
      <c r="N965" s="72" t="n"/>
      <c r="O965" s="72" t="n"/>
    </row>
    <row r="966">
      <c r="E966" s="72" t="n"/>
      <c r="N966" s="72" t="n"/>
      <c r="O966" s="72" t="n"/>
    </row>
    <row r="967">
      <c r="E967" s="72" t="n"/>
      <c r="N967" s="72" t="n"/>
      <c r="O967" s="72" t="n"/>
    </row>
    <row r="968">
      <c r="E968" s="72" t="n"/>
      <c r="N968" s="72" t="n"/>
      <c r="O968" s="72" t="n"/>
    </row>
    <row r="969">
      <c r="E969" s="72" t="n"/>
      <c r="N969" s="72" t="n"/>
      <c r="O969" s="72" t="n"/>
    </row>
    <row r="970">
      <c r="E970" s="72" t="n"/>
      <c r="N970" s="72" t="n"/>
      <c r="O970" s="72" t="n"/>
    </row>
    <row r="971">
      <c r="E971" s="72" t="n"/>
      <c r="N971" s="72" t="n"/>
      <c r="O971" s="72" t="n"/>
    </row>
    <row r="972">
      <c r="E972" s="72" t="n"/>
      <c r="N972" s="72" t="n"/>
      <c r="O972" s="72" t="n"/>
    </row>
    <row r="973">
      <c r="E973" s="72" t="n"/>
      <c r="N973" s="72" t="n"/>
      <c r="O973" s="72" t="n"/>
    </row>
    <row r="974">
      <c r="E974" s="72" t="n"/>
      <c r="N974" s="72" t="n"/>
      <c r="O974" s="72" t="n"/>
    </row>
    <row r="975">
      <c r="E975" s="72" t="n"/>
      <c r="N975" s="72" t="n"/>
      <c r="O975" s="72" t="n"/>
    </row>
    <row r="976">
      <c r="E976" s="72" t="n"/>
      <c r="N976" s="72" t="n"/>
      <c r="O976" s="72" t="n"/>
    </row>
    <row r="977">
      <c r="E977" s="72" t="n"/>
      <c r="N977" s="72" t="n"/>
      <c r="O977" s="72" t="n"/>
    </row>
    <row r="978">
      <c r="E978" s="72" t="n"/>
      <c r="N978" s="72" t="n"/>
      <c r="O978" s="72" t="n"/>
    </row>
    <row r="979">
      <c r="E979" s="72" t="n"/>
      <c r="N979" s="72" t="n"/>
      <c r="O979" s="72" t="n"/>
    </row>
    <row r="980">
      <c r="E980" s="72" t="n"/>
      <c r="N980" s="72" t="n"/>
      <c r="O980" s="72" t="n"/>
    </row>
    <row r="981">
      <c r="E981" s="72" t="n"/>
      <c r="N981" s="72" t="n"/>
      <c r="O981" s="72" t="n"/>
    </row>
    <row r="982">
      <c r="E982" s="72" t="n"/>
      <c r="N982" s="72" t="n"/>
      <c r="O982" s="72" t="n"/>
    </row>
    <row r="983">
      <c r="E983" s="72" t="n"/>
      <c r="N983" s="72" t="n"/>
      <c r="O983" s="72" t="n"/>
    </row>
    <row r="984">
      <c r="E984" s="72" t="n"/>
      <c r="N984" s="72" t="n"/>
      <c r="O984" s="72" t="n"/>
    </row>
    <row r="985">
      <c r="E985" s="72" t="n"/>
      <c r="N985" s="72" t="n"/>
      <c r="O985" s="72" t="n"/>
    </row>
    <row r="986">
      <c r="E986" s="72" t="n"/>
      <c r="N986" s="72" t="n"/>
      <c r="O986" s="72" t="n"/>
    </row>
    <row r="987">
      <c r="E987" s="72" t="n"/>
      <c r="N987" s="72" t="n"/>
      <c r="O987" s="72" t="n"/>
    </row>
    <row r="988">
      <c r="E988" s="72" t="n"/>
      <c r="N988" s="72" t="n"/>
      <c r="O988" s="72" t="n"/>
    </row>
    <row r="989">
      <c r="E989" s="72" t="n"/>
      <c r="N989" s="72" t="n"/>
      <c r="O989" s="72" t="n"/>
    </row>
    <row r="990">
      <c r="E990" s="72" t="n"/>
      <c r="N990" s="72" t="n"/>
      <c r="O990" s="72" t="n"/>
    </row>
    <row r="991">
      <c r="E991" s="72" t="n"/>
      <c r="N991" s="72" t="n"/>
      <c r="O991" s="72" t="n"/>
    </row>
    <row r="992">
      <c r="E992" s="72" t="n"/>
      <c r="N992" s="72" t="n"/>
      <c r="O992" s="72" t="n"/>
    </row>
    <row r="993">
      <c r="E993" s="72" t="n"/>
      <c r="N993" s="72" t="n"/>
      <c r="O993" s="72" t="n"/>
    </row>
    <row r="994">
      <c r="E994" s="72" t="n"/>
      <c r="N994" s="72" t="n"/>
      <c r="O994" s="72" t="n"/>
    </row>
    <row r="995">
      <c r="E995" s="72" t="n"/>
      <c r="N995" s="72" t="n"/>
      <c r="O995" s="72" t="n"/>
    </row>
    <row r="996">
      <c r="E996" s="72" t="n"/>
      <c r="N996" s="72" t="n"/>
      <c r="O996" s="72" t="n"/>
    </row>
    <row r="997">
      <c r="E997" s="72" t="n"/>
      <c r="N997" s="72" t="n"/>
      <c r="O997" s="72" t="n"/>
    </row>
    <row r="998">
      <c r="E998" s="72" t="n"/>
      <c r="N998" s="72" t="n"/>
      <c r="O998" s="72" t="n"/>
    </row>
    <row r="999">
      <c r="E999" s="72" t="n"/>
      <c r="N999" s="72" t="n"/>
      <c r="O999" s="72" t="n"/>
    </row>
    <row r="1000">
      <c r="E1000" s="72" t="n"/>
      <c r="N1000" s="72" t="n"/>
      <c r="O1000" s="72" t="n"/>
    </row>
    <row r="1001">
      <c r="E1001" s="72" t="n"/>
      <c r="N1001" s="72" t="n"/>
      <c r="O1001" s="72" t="n"/>
    </row>
    <row r="1002">
      <c r="E1002" s="72" t="n"/>
      <c r="N1002" s="72" t="n"/>
      <c r="O1002" s="72" t="n"/>
    </row>
    <row r="1003">
      <c r="E1003" s="72" t="n"/>
      <c r="N1003" s="72" t="n"/>
      <c r="O1003" s="72" t="n"/>
    </row>
    <row r="1004">
      <c r="E1004" s="72" t="n"/>
      <c r="N1004" s="72" t="n"/>
      <c r="O1004" s="72" t="n"/>
    </row>
    <row r="1005">
      <c r="E1005" s="72" t="n"/>
      <c r="N1005" s="72" t="n"/>
      <c r="O1005" s="72" t="n"/>
    </row>
    <row r="1006">
      <c r="E1006" s="72" t="n"/>
      <c r="N1006" s="72" t="n"/>
      <c r="O1006" s="72" t="n"/>
    </row>
    <row r="1007">
      <c r="E1007" s="72" t="n"/>
      <c r="N1007" s="72" t="n"/>
      <c r="O1007" s="72" t="n"/>
    </row>
    <row r="1008">
      <c r="E1008" s="72" t="n"/>
      <c r="N1008" s="72" t="n"/>
      <c r="O1008" s="72" t="n"/>
    </row>
    <row r="1009">
      <c r="E1009" s="72" t="n"/>
      <c r="N1009" s="72" t="n"/>
      <c r="O1009" s="72" t="n"/>
    </row>
    <row r="1010">
      <c r="E1010" s="72" t="n"/>
      <c r="N1010" s="72" t="n"/>
      <c r="O1010" s="72" t="n"/>
    </row>
    <row r="1011">
      <c r="E1011" s="72" t="n"/>
      <c r="N1011" s="72" t="n"/>
      <c r="O1011" s="72" t="n"/>
    </row>
    <row r="1012">
      <c r="E1012" s="72" t="n"/>
      <c r="N1012" s="72" t="n"/>
      <c r="O1012" s="72" t="n"/>
    </row>
    <row r="1013">
      <c r="E1013" s="72" t="n"/>
      <c r="N1013" s="72" t="n"/>
      <c r="O1013" s="72" t="n"/>
    </row>
    <row r="1014">
      <c r="E1014" s="72" t="n"/>
      <c r="N1014" s="72" t="n"/>
      <c r="O1014" s="72" t="n"/>
    </row>
    <row r="1015">
      <c r="E1015" s="72" t="n"/>
      <c r="N1015" s="72" t="n"/>
      <c r="O1015" s="72" t="n"/>
    </row>
    <row r="1016">
      <c r="E1016" s="72" t="n"/>
      <c r="N1016" s="72" t="n"/>
      <c r="O1016" s="72" t="n"/>
    </row>
    <row r="1017">
      <c r="E1017" s="72" t="n"/>
      <c r="N1017" s="72" t="n"/>
      <c r="O1017" s="72" t="n"/>
    </row>
    <row r="1018">
      <c r="E1018" s="72" t="n"/>
      <c r="N1018" s="72" t="n"/>
      <c r="O1018" s="72" t="n"/>
    </row>
    <row r="1019">
      <c r="E1019" s="72" t="n"/>
      <c r="N1019" s="72" t="n"/>
      <c r="O1019" s="72" t="n"/>
    </row>
    <row r="1020">
      <c r="E1020" s="72" t="n"/>
      <c r="N1020" s="72" t="n"/>
      <c r="O1020" s="72" t="n"/>
    </row>
    <row r="1021">
      <c r="E1021" s="72" t="n"/>
      <c r="N1021" s="72" t="n"/>
      <c r="O1021" s="72" t="n"/>
    </row>
    <row r="1022">
      <c r="E1022" s="72" t="n"/>
      <c r="N1022" s="72" t="n"/>
      <c r="O1022" s="72" t="n"/>
    </row>
    <row r="1023">
      <c r="E1023" s="72" t="n"/>
      <c r="N1023" s="72" t="n"/>
      <c r="O1023" s="72" t="n"/>
    </row>
    <row r="1024">
      <c r="E1024" s="72" t="n"/>
      <c r="N1024" s="72" t="n"/>
      <c r="O1024" s="72" t="n"/>
    </row>
    <row r="1025">
      <c r="E1025" s="72" t="n"/>
      <c r="N1025" s="72" t="n"/>
      <c r="O1025" s="72" t="n"/>
    </row>
    <row r="1026">
      <c r="E1026" s="72" t="n"/>
      <c r="N1026" s="72" t="n"/>
      <c r="O1026" s="72" t="n"/>
    </row>
    <row r="1027">
      <c r="E1027" s="72" t="n"/>
      <c r="N1027" s="72" t="n"/>
      <c r="O1027" s="72" t="n"/>
    </row>
    <row r="1028">
      <c r="E1028" s="72" t="n"/>
      <c r="N1028" s="72" t="n"/>
      <c r="O1028" s="72" t="n"/>
    </row>
    <row r="1029">
      <c r="E1029" s="72" t="n"/>
      <c r="N1029" s="72" t="n"/>
      <c r="O1029" s="72" t="n"/>
    </row>
    <row r="1030">
      <c r="E1030" s="72" t="n"/>
      <c r="N1030" s="72" t="n"/>
      <c r="O1030" s="72" t="n"/>
    </row>
    <row r="1031">
      <c r="E1031" s="72" t="n"/>
      <c r="N1031" s="72" t="n"/>
      <c r="O1031" s="72" t="n"/>
    </row>
    <row r="1032">
      <c r="E1032" s="72" t="n"/>
      <c r="N1032" s="72" t="n"/>
      <c r="O1032" s="72" t="n"/>
    </row>
    <row r="1033">
      <c r="E1033" s="72" t="n"/>
      <c r="N1033" s="72" t="n"/>
      <c r="O1033" s="72" t="n"/>
    </row>
    <row r="1034">
      <c r="E1034" s="72" t="n"/>
      <c r="N1034" s="72" t="n"/>
      <c r="O1034" s="72" t="n"/>
    </row>
    <row r="1035">
      <c r="E1035" s="72" t="n"/>
      <c r="N1035" s="72" t="n"/>
      <c r="O1035" s="72" t="n"/>
    </row>
    <row r="1036">
      <c r="E1036" s="72" t="n"/>
      <c r="N1036" s="72" t="n"/>
      <c r="O1036" s="72" t="n"/>
    </row>
    <row r="1037">
      <c r="E1037" s="72" t="n"/>
      <c r="N1037" s="72" t="n"/>
      <c r="O1037" s="72" t="n"/>
    </row>
    <row r="1038">
      <c r="E1038" s="72" t="n"/>
      <c r="N1038" s="72" t="n"/>
      <c r="O1038" s="72" t="n"/>
    </row>
    <row r="1039">
      <c r="E1039" s="72" t="n"/>
      <c r="N1039" s="72" t="n"/>
      <c r="O1039" s="72" t="n"/>
    </row>
    <row r="1040">
      <c r="E1040" s="72" t="n"/>
      <c r="N1040" s="72" t="n"/>
      <c r="O1040" s="72" t="n"/>
    </row>
    <row r="1041">
      <c r="E1041" s="72" t="n"/>
      <c r="N1041" s="72" t="n"/>
      <c r="O1041" s="72" t="n"/>
    </row>
    <row r="1042">
      <c r="E1042" s="72" t="n"/>
      <c r="N1042" s="72" t="n"/>
      <c r="O1042" s="72" t="n"/>
    </row>
    <row r="1043">
      <c r="E1043" s="72" t="n"/>
      <c r="N1043" s="72" t="n"/>
      <c r="O1043" s="72" t="n"/>
    </row>
    <row r="1044">
      <c r="E1044" s="72" t="n"/>
      <c r="N1044" s="72" t="n"/>
      <c r="O1044" s="72" t="n"/>
    </row>
    <row r="1045">
      <c r="E1045" s="72" t="n"/>
      <c r="N1045" s="72" t="n"/>
      <c r="O1045" s="72" t="n"/>
    </row>
    <row r="1046">
      <c r="E1046" s="72" t="n"/>
      <c r="N1046" s="72" t="n"/>
      <c r="O1046" s="72" t="n"/>
    </row>
    <row r="1047">
      <c r="E1047" s="72" t="n"/>
      <c r="N1047" s="72" t="n"/>
      <c r="O1047" s="72" t="n"/>
    </row>
    <row r="1048">
      <c r="E1048" s="72" t="n"/>
      <c r="N1048" s="72" t="n"/>
      <c r="O1048" s="72" t="n"/>
    </row>
    <row r="1049">
      <c r="E1049" s="72" t="n"/>
      <c r="N1049" s="72" t="n"/>
      <c r="O1049" s="72" t="n"/>
    </row>
    <row r="1050">
      <c r="E1050" s="72" t="n"/>
      <c r="N1050" s="72" t="n"/>
      <c r="O1050" s="72" t="n"/>
    </row>
    <row r="1051">
      <c r="E1051" s="72" t="n"/>
      <c r="N1051" s="72" t="n"/>
      <c r="O1051" s="72" t="n"/>
    </row>
    <row r="1052">
      <c r="E1052" s="72" t="n"/>
      <c r="N1052" s="72" t="n"/>
      <c r="O1052" s="72" t="n"/>
    </row>
    <row r="1053">
      <c r="E1053" s="72" t="n"/>
      <c r="N1053" s="72" t="n"/>
      <c r="O1053" s="72" t="n"/>
    </row>
    <row r="1054">
      <c r="E1054" s="72" t="n"/>
      <c r="N1054" s="72" t="n"/>
      <c r="O1054" s="72" t="n"/>
    </row>
    <row r="1055">
      <c r="E1055" s="72" t="n"/>
      <c r="N1055" s="72" t="n"/>
      <c r="O1055" s="72" t="n"/>
    </row>
    <row r="1056">
      <c r="E1056" s="72" t="n"/>
      <c r="N1056" s="72" t="n"/>
      <c r="O1056" s="72" t="n"/>
    </row>
    <row r="1057">
      <c r="E1057" s="72" t="n"/>
      <c r="N1057" s="72" t="n"/>
      <c r="O1057" s="72" t="n"/>
    </row>
    <row r="1058">
      <c r="E1058" s="72" t="n"/>
      <c r="N1058" s="72" t="n"/>
      <c r="O1058" s="72" t="n"/>
    </row>
    <row r="1059">
      <c r="E1059" s="72" t="n"/>
      <c r="N1059" s="72" t="n"/>
      <c r="O1059" s="72" t="n"/>
    </row>
    <row r="1060">
      <c r="E1060" s="72" t="n"/>
      <c r="N1060" s="72" t="n"/>
      <c r="O1060" s="72" t="n"/>
    </row>
    <row r="1061">
      <c r="E1061" s="72" t="n"/>
      <c r="N1061" s="72" t="n"/>
      <c r="O1061" s="72" t="n"/>
    </row>
    <row r="1062">
      <c r="E1062" s="72" t="n"/>
      <c r="N1062" s="72" t="n"/>
      <c r="O1062" s="72" t="n"/>
    </row>
    <row r="1063">
      <c r="E1063" s="72" t="n"/>
      <c r="N1063" s="72" t="n"/>
      <c r="O1063" s="72" t="n"/>
    </row>
    <row r="1064">
      <c r="E1064" s="72" t="n"/>
      <c r="N1064" s="72" t="n"/>
      <c r="O1064" s="72" t="n"/>
    </row>
    <row r="1065">
      <c r="E1065" s="72" t="n"/>
      <c r="N1065" s="72" t="n"/>
      <c r="O1065" s="72" t="n"/>
    </row>
    <row r="1066">
      <c r="E1066" s="72" t="n"/>
      <c r="N1066" s="72" t="n"/>
      <c r="O1066" s="72" t="n"/>
    </row>
    <row r="1067">
      <c r="E1067" s="72" t="n"/>
      <c r="N1067" s="72" t="n"/>
      <c r="O1067" s="72" t="n"/>
    </row>
    <row r="1068">
      <c r="E1068" s="72" t="n"/>
      <c r="N1068" s="72" t="n"/>
      <c r="O1068" s="72" t="n"/>
    </row>
    <row r="1069">
      <c r="E1069" s="72" t="n"/>
      <c r="N1069" s="72" t="n"/>
      <c r="O1069" s="72" t="n"/>
    </row>
    <row r="1070">
      <c r="E1070" s="72" t="n"/>
      <c r="N1070" s="72" t="n"/>
      <c r="O1070" s="72" t="n"/>
    </row>
    <row r="1071">
      <c r="E1071" s="72" t="n"/>
      <c r="N1071" s="72" t="n"/>
      <c r="O1071" s="72" t="n"/>
    </row>
    <row r="1072">
      <c r="E1072" s="72" t="n"/>
      <c r="N1072" s="72" t="n"/>
      <c r="O1072" s="72" t="n"/>
    </row>
    <row r="1073">
      <c r="E1073" s="72" t="n"/>
      <c r="N1073" s="72" t="n"/>
      <c r="O1073" s="72" t="n"/>
    </row>
    <row r="1074">
      <c r="E1074" s="72" t="n"/>
      <c r="N1074" s="72" t="n"/>
      <c r="O1074" s="72" t="n"/>
    </row>
    <row r="1075">
      <c r="E1075" s="72" t="n"/>
      <c r="N1075" s="72" t="n"/>
      <c r="O1075" s="72" t="n"/>
    </row>
    <row r="1076">
      <c r="E1076" s="72" t="n"/>
      <c r="N1076" s="72" t="n"/>
      <c r="O1076" s="72" t="n"/>
    </row>
    <row r="1077">
      <c r="E1077" s="72" t="n"/>
      <c r="N1077" s="72" t="n"/>
      <c r="O1077" s="72" t="n"/>
    </row>
    <row r="1078">
      <c r="E1078" s="72" t="n"/>
      <c r="N1078" s="72" t="n"/>
      <c r="O1078" s="72" t="n"/>
    </row>
    <row r="1079">
      <c r="E1079" s="72" t="n"/>
      <c r="N1079" s="72" t="n"/>
      <c r="O1079" s="72" t="n"/>
    </row>
    <row r="1080">
      <c r="E1080" s="72" t="n"/>
      <c r="N1080" s="72" t="n"/>
      <c r="O1080" s="72" t="n"/>
    </row>
    <row r="1081">
      <c r="E1081" s="72" t="n"/>
      <c r="N1081" s="72" t="n"/>
      <c r="O1081" s="72" t="n"/>
    </row>
    <row r="1082">
      <c r="E1082" s="72" t="n"/>
      <c r="N1082" s="72" t="n"/>
      <c r="O1082" s="72" t="n"/>
    </row>
    <row r="1083">
      <c r="E1083" s="72" t="n"/>
      <c r="N1083" s="72" t="n"/>
      <c r="O1083" s="72" t="n"/>
    </row>
    <row r="1084">
      <c r="E1084" s="72" t="n"/>
      <c r="N1084" s="72" t="n"/>
      <c r="O1084" s="72" t="n"/>
    </row>
    <row r="1085">
      <c r="E1085" s="72" t="n"/>
      <c r="N1085" s="72" t="n"/>
      <c r="O1085" s="72" t="n"/>
    </row>
    <row r="1086">
      <c r="E1086" s="72" t="n"/>
      <c r="N1086" s="72" t="n"/>
      <c r="O1086" s="72" t="n"/>
    </row>
    <row r="1087">
      <c r="E1087" s="72" t="n"/>
      <c r="N1087" s="72" t="n"/>
      <c r="O1087" s="72" t="n"/>
    </row>
    <row r="1088">
      <c r="E1088" s="72" t="n"/>
      <c r="N1088" s="72" t="n"/>
      <c r="O1088" s="72" t="n"/>
    </row>
    <row r="1089">
      <c r="E1089" s="72" t="n"/>
      <c r="N1089" s="72" t="n"/>
      <c r="O1089" s="72" t="n"/>
    </row>
    <row r="1090">
      <c r="E1090" s="72" t="n"/>
      <c r="N1090" s="72" t="n"/>
      <c r="O1090" s="72" t="n"/>
    </row>
    <row r="1091">
      <c r="E1091" s="72" t="n"/>
      <c r="N1091" s="72" t="n"/>
      <c r="O1091" s="72" t="n"/>
    </row>
    <row r="1092">
      <c r="E1092" s="72" t="n"/>
      <c r="N1092" s="72" t="n"/>
      <c r="O1092" s="72" t="n"/>
    </row>
    <row r="1093">
      <c r="E1093" s="72" t="n"/>
      <c r="N1093" s="72" t="n"/>
      <c r="O1093" s="72" t="n"/>
    </row>
    <row r="1094">
      <c r="E1094" s="72" t="n"/>
      <c r="N1094" s="72" t="n"/>
      <c r="O1094" s="72" t="n"/>
    </row>
    <row r="1095">
      <c r="E1095" s="72" t="n"/>
      <c r="N1095" s="72" t="n"/>
      <c r="O1095" s="72" t="n"/>
    </row>
    <row r="1096">
      <c r="E1096" s="72" t="n"/>
      <c r="N1096" s="72" t="n"/>
      <c r="O1096" s="72" t="n"/>
    </row>
    <row r="1097">
      <c r="E1097" s="72" t="n"/>
      <c r="N1097" s="72" t="n"/>
      <c r="O1097" s="72" t="n"/>
    </row>
    <row r="1098">
      <c r="E1098" s="72" t="n"/>
      <c r="N1098" s="72" t="n"/>
      <c r="O1098" s="72" t="n"/>
    </row>
    <row r="1099">
      <c r="E1099" s="72" t="n"/>
      <c r="N1099" s="72" t="n"/>
      <c r="O1099" s="72" t="n"/>
    </row>
    <row r="1100">
      <c r="E1100" s="72" t="n"/>
      <c r="N1100" s="72" t="n"/>
      <c r="O1100" s="72" t="n"/>
    </row>
    <row r="1101">
      <c r="E1101" s="72" t="n"/>
      <c r="N1101" s="72" t="n"/>
      <c r="O1101" s="72" t="n"/>
    </row>
    <row r="1102">
      <c r="E1102" s="72" t="n"/>
      <c r="N1102" s="72" t="n"/>
      <c r="O1102" s="72" t="n"/>
    </row>
    <row r="1103">
      <c r="E1103" s="72" t="n"/>
      <c r="N1103" s="72" t="n"/>
      <c r="O1103" s="72" t="n"/>
    </row>
    <row r="1104">
      <c r="E1104" s="72" t="n"/>
      <c r="N1104" s="72" t="n"/>
      <c r="O1104" s="72" t="n"/>
    </row>
    <row r="1105">
      <c r="E1105" s="72" t="n"/>
      <c r="N1105" s="72" t="n"/>
      <c r="O1105" s="72" t="n"/>
    </row>
    <row r="1106">
      <c r="E1106" s="72" t="n"/>
      <c r="N1106" s="72" t="n"/>
      <c r="O1106" s="72" t="n"/>
    </row>
    <row r="1107">
      <c r="E1107" s="72" t="n"/>
      <c r="N1107" s="72" t="n"/>
      <c r="O1107" s="72" t="n"/>
    </row>
    <row r="1108">
      <c r="E1108" s="72" t="n"/>
      <c r="N1108" s="72" t="n"/>
      <c r="O1108" s="72" t="n"/>
    </row>
    <row r="1109">
      <c r="E1109" s="72" t="n"/>
      <c r="N1109" s="72" t="n"/>
      <c r="O1109" s="72" t="n"/>
    </row>
    <row r="1110">
      <c r="E1110" s="72" t="n"/>
      <c r="N1110" s="72" t="n"/>
      <c r="O1110" s="72" t="n"/>
    </row>
    <row r="1111">
      <c r="E1111" s="72" t="n"/>
      <c r="N1111" s="72" t="n"/>
      <c r="O1111" s="72" t="n"/>
    </row>
    <row r="1112">
      <c r="E1112" s="72" t="n"/>
      <c r="N1112" s="72" t="n"/>
      <c r="O1112" s="72" t="n"/>
    </row>
    <row r="1113">
      <c r="E1113" s="72" t="n"/>
      <c r="N1113" s="72" t="n"/>
      <c r="O1113" s="72" t="n"/>
    </row>
    <row r="1114">
      <c r="E1114" s="72" t="n"/>
      <c r="N1114" s="72" t="n"/>
      <c r="O1114" s="72" t="n"/>
    </row>
    <row r="1115">
      <c r="E1115" s="72" t="n"/>
      <c r="N1115" s="72" t="n"/>
      <c r="O1115" s="72" t="n"/>
    </row>
    <row r="1116">
      <c r="E1116" s="72" t="n"/>
      <c r="N1116" s="72" t="n"/>
      <c r="O1116" s="72" t="n"/>
    </row>
    <row r="1117">
      <c r="E1117" s="72" t="n"/>
      <c r="N1117" s="72" t="n"/>
      <c r="O1117" s="72" t="n"/>
    </row>
    <row r="1118">
      <c r="E1118" s="72" t="n"/>
      <c r="N1118" s="72" t="n"/>
      <c r="O1118" s="72" t="n"/>
    </row>
    <row r="1119">
      <c r="E1119" s="72" t="n"/>
      <c r="N1119" s="72" t="n"/>
      <c r="O1119" s="72" t="n"/>
    </row>
  </sheetData>
  <autoFilter ref="A1:R1119"/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 codeName="工作表8">
    <outlinePr summaryBelow="1" summaryRight="1"/>
    <pageSetUpPr/>
  </sheetPr>
  <dimension ref="A1:L250"/>
  <sheetViews>
    <sheetView workbookViewId="0">
      <selection activeCell="C231" sqref="C231"/>
    </sheetView>
  </sheetViews>
  <sheetFormatPr baseColWidth="8" defaultColWidth="9.140625" defaultRowHeight="15"/>
  <cols>
    <col width="11.85546875" customWidth="1" style="57" min="1" max="1"/>
    <col width="12.140625" bestFit="1" customWidth="1" style="4" min="2" max="2"/>
    <col width="26" bestFit="1" customWidth="1" style="57" min="3" max="3"/>
    <col width="18" bestFit="1" customWidth="1" style="57" min="4" max="4"/>
    <col width="15.140625" bestFit="1" customWidth="1" style="57" min="5" max="5"/>
    <col width="10.5703125" bestFit="1" customWidth="1" style="57" min="6" max="6"/>
    <col width="9.140625" customWidth="1" style="57" min="7" max="287"/>
    <col width="9.140625" customWidth="1" style="57" min="288" max="16384"/>
  </cols>
  <sheetData>
    <row r="1">
      <c r="A1" s="3" t="inlineStr">
        <is>
          <t>CDR Code</t>
        </is>
      </c>
      <c r="B1" s="2" t="inlineStr">
        <is>
          <t>Date</t>
        </is>
      </c>
      <c r="C1" s="3" t="inlineStr">
        <is>
          <t>Holiday Name</t>
        </is>
      </c>
      <c r="D1" s="3" t="inlineStr">
        <is>
          <t>Settlement Info.</t>
        </is>
      </c>
      <c r="E1" s="3" t="inlineStr">
        <is>
          <t>Trading Info.</t>
        </is>
      </c>
      <c r="F1" s="3" t="inlineStr">
        <is>
          <t>Comment</t>
        </is>
      </c>
    </row>
    <row r="2">
      <c r="A2" s="57" t="inlineStr">
        <is>
          <t>US</t>
        </is>
      </c>
      <c r="B2" s="4" t="n">
        <v>45292</v>
      </c>
      <c r="C2" s="57" t="inlineStr">
        <is>
          <t>New Year's Day</t>
        </is>
      </c>
      <c r="D2" s="57" t="inlineStr">
        <is>
          <t>No Settlement</t>
        </is>
      </c>
    </row>
    <row r="3">
      <c r="A3" s="57" t="inlineStr">
        <is>
          <t>US</t>
        </is>
      </c>
      <c r="B3" s="4" t="n">
        <v>45306</v>
      </c>
      <c r="C3" s="57" t="inlineStr">
        <is>
          <t>Martin L. King Day</t>
        </is>
      </c>
      <c r="D3" s="57" t="inlineStr">
        <is>
          <t>No Settlement</t>
        </is>
      </c>
    </row>
    <row r="4">
      <c r="A4" s="57" t="inlineStr">
        <is>
          <t>US</t>
        </is>
      </c>
      <c r="B4" s="4" t="n">
        <v>45341</v>
      </c>
      <c r="C4" s="57" t="inlineStr">
        <is>
          <t>Presidents' Day</t>
        </is>
      </c>
      <c r="D4" s="57" t="inlineStr">
        <is>
          <t>No Settlement</t>
        </is>
      </c>
    </row>
    <row r="5">
      <c r="A5" s="57" t="inlineStr">
        <is>
          <t>US</t>
        </is>
      </c>
      <c r="B5" s="4" t="n">
        <v>45361</v>
      </c>
      <c r="C5" s="57" t="inlineStr">
        <is>
          <t>Daylight Saving Begins</t>
        </is>
      </c>
      <c r="D5" s="57" t="inlineStr">
        <is>
          <t>No Settlement</t>
        </is>
      </c>
      <c r="F5" s="57" t="inlineStr">
        <is>
          <t>Weekend</t>
        </is>
      </c>
    </row>
    <row r="6">
      <c r="A6" s="57" t="inlineStr">
        <is>
          <t>US</t>
        </is>
      </c>
      <c r="B6" s="4" t="n">
        <v>45380</v>
      </c>
      <c r="C6" s="57" t="inlineStr">
        <is>
          <t>Good Friday (not Fed Hol)</t>
        </is>
      </c>
      <c r="D6" s="57" t="inlineStr">
        <is>
          <t>No Settlement</t>
        </is>
      </c>
    </row>
    <row r="7">
      <c r="A7" s="57" t="inlineStr">
        <is>
          <t>US</t>
        </is>
      </c>
      <c r="B7" s="4" t="n">
        <v>45439</v>
      </c>
      <c r="C7" s="57" t="inlineStr">
        <is>
          <t>Memorial Day</t>
        </is>
      </c>
      <c r="D7" s="57" t="inlineStr">
        <is>
          <t>No Settlement</t>
        </is>
      </c>
    </row>
    <row r="8">
      <c r="A8" s="57" t="inlineStr">
        <is>
          <t>US</t>
        </is>
      </c>
      <c r="B8" s="4" t="n">
        <v>45462</v>
      </c>
      <c r="C8" s="57" t="inlineStr">
        <is>
          <t>Juneteenth</t>
        </is>
      </c>
      <c r="D8" s="57" t="inlineStr">
        <is>
          <t>No Settlement</t>
        </is>
      </c>
    </row>
    <row r="9">
      <c r="A9" s="57" t="inlineStr">
        <is>
          <t>US</t>
        </is>
      </c>
      <c r="B9" s="4" t="n">
        <v>45477</v>
      </c>
      <c r="C9" s="57" t="inlineStr">
        <is>
          <t>Independence Day</t>
        </is>
      </c>
      <c r="D9" s="57" t="inlineStr">
        <is>
          <t>No Settlement</t>
        </is>
      </c>
    </row>
    <row r="10">
      <c r="A10" s="57" t="inlineStr">
        <is>
          <t>US</t>
        </is>
      </c>
      <c r="B10" s="4" t="n">
        <v>45537</v>
      </c>
      <c r="C10" s="57" t="inlineStr">
        <is>
          <t>Labor Day</t>
        </is>
      </c>
      <c r="D10" s="57" t="inlineStr">
        <is>
          <t>No Settlement</t>
        </is>
      </c>
    </row>
    <row r="11">
      <c r="A11" s="57" t="inlineStr">
        <is>
          <t>US</t>
        </is>
      </c>
      <c r="B11" s="4" t="n">
        <v>45579</v>
      </c>
      <c r="C11" s="57" t="inlineStr">
        <is>
          <t>Columbus Day (exch Open)</t>
        </is>
      </c>
      <c r="D11" s="57" t="inlineStr">
        <is>
          <t>No Settlement</t>
        </is>
      </c>
    </row>
    <row r="12">
      <c r="A12" s="57" t="inlineStr">
        <is>
          <t>US</t>
        </is>
      </c>
      <c r="B12" s="4" t="n">
        <v>45599</v>
      </c>
      <c r="C12" s="57" t="inlineStr">
        <is>
          <t>Daylight Saving Ends</t>
        </is>
      </c>
      <c r="D12" s="57" t="inlineStr">
        <is>
          <t>No Settlement</t>
        </is>
      </c>
      <c r="F12" s="57" t="inlineStr">
        <is>
          <t>Weekend</t>
        </is>
      </c>
    </row>
    <row r="13">
      <c r="A13" s="57" t="inlineStr">
        <is>
          <t>US</t>
        </is>
      </c>
      <c r="B13" s="4" t="n">
        <v>45607</v>
      </c>
      <c r="C13" s="57" t="inlineStr">
        <is>
          <t>Veterans' Day (exch Open)</t>
        </is>
      </c>
      <c r="D13" s="57" t="inlineStr">
        <is>
          <t>No Settlement</t>
        </is>
      </c>
    </row>
    <row r="14">
      <c r="A14" s="57" t="inlineStr">
        <is>
          <t>US</t>
        </is>
      </c>
      <c r="B14" s="4" t="n">
        <v>45624</v>
      </c>
      <c r="C14" s="57" t="inlineStr">
        <is>
          <t>Thanksgiving</t>
        </is>
      </c>
      <c r="D14" s="57" t="inlineStr">
        <is>
          <t>No Settlement</t>
        </is>
      </c>
    </row>
    <row r="15">
      <c r="A15" s="57" t="inlineStr">
        <is>
          <t>US</t>
        </is>
      </c>
      <c r="B15" s="4" t="n">
        <v>45651</v>
      </c>
      <c r="C15" s="57" t="inlineStr">
        <is>
          <t>Christmas Day</t>
        </is>
      </c>
      <c r="D15" s="57" t="inlineStr">
        <is>
          <t>No Settlement</t>
        </is>
      </c>
    </row>
    <row r="16">
      <c r="A16" s="57" t="inlineStr">
        <is>
          <t>US</t>
        </is>
      </c>
      <c r="B16" s="4" t="n">
        <v>45658</v>
      </c>
      <c r="C16" s="57" t="inlineStr">
        <is>
          <t>New Year's Day</t>
        </is>
      </c>
      <c r="D16" s="57" t="inlineStr">
        <is>
          <t>No Settlement</t>
        </is>
      </c>
    </row>
    <row r="17">
      <c r="A17" s="57" t="inlineStr">
        <is>
          <t>US</t>
        </is>
      </c>
      <c r="B17" s="4" t="n">
        <v>45677</v>
      </c>
      <c r="C17" s="57" t="inlineStr">
        <is>
          <t>Martin L. King Day</t>
        </is>
      </c>
      <c r="D17" s="57" t="inlineStr">
        <is>
          <t>No Settlement</t>
        </is>
      </c>
    </row>
    <row r="18">
      <c r="A18" s="57" t="inlineStr">
        <is>
          <t>US</t>
        </is>
      </c>
      <c r="B18" s="4" t="n">
        <v>45705</v>
      </c>
      <c r="C18" s="57" t="inlineStr">
        <is>
          <t>Presidents' Day</t>
        </is>
      </c>
      <c r="D18" s="57" t="inlineStr">
        <is>
          <t>No Settlement</t>
        </is>
      </c>
    </row>
    <row r="19">
      <c r="A19" s="57" t="inlineStr">
        <is>
          <t>US</t>
        </is>
      </c>
      <c r="B19" s="4" t="n">
        <v>45725</v>
      </c>
      <c r="C19" s="57" t="inlineStr">
        <is>
          <t>Daylight Saving Begins</t>
        </is>
      </c>
      <c r="D19" s="57" t="inlineStr">
        <is>
          <t>No Settlement</t>
        </is>
      </c>
    </row>
    <row r="20">
      <c r="A20" s="57" t="inlineStr">
        <is>
          <t>US</t>
        </is>
      </c>
      <c r="B20" s="4" t="n">
        <v>45765</v>
      </c>
      <c r="C20" s="57" t="inlineStr">
        <is>
          <t>Good Friday (not Fed Hol)</t>
        </is>
      </c>
      <c r="D20" s="57" t="inlineStr">
        <is>
          <t>No Settlement</t>
        </is>
      </c>
    </row>
    <row r="21">
      <c r="A21" s="57" t="inlineStr">
        <is>
          <t>US</t>
        </is>
      </c>
      <c r="B21" s="4" t="n">
        <v>45803</v>
      </c>
      <c r="C21" s="57" t="inlineStr">
        <is>
          <t>Memorial Day</t>
        </is>
      </c>
      <c r="D21" s="57" t="inlineStr">
        <is>
          <t>No Settlement</t>
        </is>
      </c>
    </row>
    <row r="22">
      <c r="A22" s="57" t="inlineStr">
        <is>
          <t>US</t>
        </is>
      </c>
      <c r="B22" s="4" t="n">
        <v>45827</v>
      </c>
      <c r="C22" s="57" t="inlineStr">
        <is>
          <t>Juneteenth</t>
        </is>
      </c>
      <c r="D22" s="57" t="inlineStr">
        <is>
          <t>No Settlement</t>
        </is>
      </c>
    </row>
    <row r="23">
      <c r="A23" s="57" t="inlineStr">
        <is>
          <t>US</t>
        </is>
      </c>
      <c r="B23" s="4" t="n">
        <v>45842</v>
      </c>
      <c r="C23" s="57" t="inlineStr">
        <is>
          <t>Independence Day</t>
        </is>
      </c>
      <c r="D23" s="57" t="inlineStr">
        <is>
          <t>No Settlement</t>
        </is>
      </c>
    </row>
    <row r="24">
      <c r="A24" s="57" t="inlineStr">
        <is>
          <t>US</t>
        </is>
      </c>
      <c r="B24" s="4" t="n">
        <v>45901</v>
      </c>
      <c r="C24" s="57" t="inlineStr">
        <is>
          <t>Labor Day</t>
        </is>
      </c>
      <c r="D24" s="57" t="inlineStr">
        <is>
          <t>No Settlement</t>
        </is>
      </c>
    </row>
    <row r="25">
      <c r="A25" s="57" t="inlineStr">
        <is>
          <t>US</t>
        </is>
      </c>
      <c r="B25" s="4" t="n">
        <v>45943</v>
      </c>
      <c r="C25" s="57" t="inlineStr">
        <is>
          <t>Columbus Day (exch Open)</t>
        </is>
      </c>
      <c r="D25" s="57" t="inlineStr">
        <is>
          <t>No Settlement</t>
        </is>
      </c>
    </row>
    <row r="26">
      <c r="A26" s="57" t="inlineStr">
        <is>
          <t>US</t>
        </is>
      </c>
      <c r="B26" s="4" t="n">
        <v>45963</v>
      </c>
      <c r="C26" s="57" t="inlineStr">
        <is>
          <t>Daylight Saving Ends</t>
        </is>
      </c>
      <c r="D26" s="57" t="inlineStr">
        <is>
          <t>No Settlement</t>
        </is>
      </c>
    </row>
    <row r="27">
      <c r="A27" s="57" t="inlineStr">
        <is>
          <t>US</t>
        </is>
      </c>
      <c r="B27" s="4" t="n">
        <v>45972</v>
      </c>
      <c r="C27" s="57" t="inlineStr">
        <is>
          <t>Veterans' Day (exch Open)</t>
        </is>
      </c>
      <c r="D27" s="57" t="inlineStr">
        <is>
          <t>No Settlement</t>
        </is>
      </c>
    </row>
    <row r="28">
      <c r="A28" s="57" t="inlineStr">
        <is>
          <t>US</t>
        </is>
      </c>
      <c r="B28" s="4" t="n">
        <v>45988</v>
      </c>
      <c r="C28" s="57" t="inlineStr">
        <is>
          <t>Thanksgiving</t>
        </is>
      </c>
      <c r="D28" s="57" t="inlineStr">
        <is>
          <t>No Settlement</t>
        </is>
      </c>
    </row>
    <row r="29">
      <c r="A29" s="57" t="inlineStr">
        <is>
          <t>US</t>
        </is>
      </c>
      <c r="B29" s="4" t="n">
        <v>46016</v>
      </c>
      <c r="C29" s="57" t="inlineStr">
        <is>
          <t>Christmas Day</t>
        </is>
      </c>
      <c r="D29" s="57" t="inlineStr">
        <is>
          <t>No Settlement</t>
        </is>
      </c>
    </row>
    <row r="30">
      <c r="A30" s="57" t="inlineStr">
        <is>
          <t>US</t>
        </is>
      </c>
      <c r="B30" s="4" t="n">
        <v>46023</v>
      </c>
      <c r="C30" s="57" t="inlineStr">
        <is>
          <t>New Year's Day</t>
        </is>
      </c>
      <c r="D30" s="57" t="inlineStr">
        <is>
          <t>No Settlement</t>
        </is>
      </c>
    </row>
    <row r="31">
      <c r="A31" s="57" t="inlineStr">
        <is>
          <t>US</t>
        </is>
      </c>
      <c r="B31" s="4" t="n">
        <v>46041</v>
      </c>
      <c r="C31" s="57" t="inlineStr">
        <is>
          <t>Martin L. King Day</t>
        </is>
      </c>
      <c r="D31" s="57" t="inlineStr">
        <is>
          <t>No Settlement</t>
        </is>
      </c>
    </row>
    <row r="32">
      <c r="A32" s="57" t="inlineStr">
        <is>
          <t>US</t>
        </is>
      </c>
      <c r="B32" s="4" t="n">
        <v>46069</v>
      </c>
      <c r="C32" s="57" t="inlineStr">
        <is>
          <t>Presidents' Day</t>
        </is>
      </c>
      <c r="D32" s="57" t="inlineStr">
        <is>
          <t>No Settlement</t>
        </is>
      </c>
    </row>
    <row r="33">
      <c r="A33" s="57" t="inlineStr">
        <is>
          <t>US</t>
        </is>
      </c>
      <c r="B33" s="4" t="n">
        <v>46115</v>
      </c>
      <c r="C33" s="57" t="inlineStr">
        <is>
          <t>Good Friday (not Fed Hol)</t>
        </is>
      </c>
      <c r="D33" s="57" t="inlineStr">
        <is>
          <t>No Settlement</t>
        </is>
      </c>
    </row>
    <row r="34">
      <c r="A34" s="57" t="inlineStr">
        <is>
          <t>US</t>
        </is>
      </c>
      <c r="B34" s="4" t="n">
        <v>46167</v>
      </c>
      <c r="C34" s="57" t="inlineStr">
        <is>
          <t>Memorial Day</t>
        </is>
      </c>
      <c r="D34" s="57" t="inlineStr">
        <is>
          <t>No Settlement</t>
        </is>
      </c>
    </row>
    <row r="35">
      <c r="A35" s="57" t="inlineStr">
        <is>
          <t>US</t>
        </is>
      </c>
      <c r="B35" s="4" t="n">
        <v>46192</v>
      </c>
      <c r="C35" s="57" t="inlineStr">
        <is>
          <t>Juneteenth</t>
        </is>
      </c>
      <c r="D35" s="57" t="inlineStr">
        <is>
          <t>No Settlement</t>
        </is>
      </c>
    </row>
    <row r="36">
      <c r="A36" s="57" t="inlineStr">
        <is>
          <t>US</t>
        </is>
      </c>
      <c r="B36" s="4" t="n">
        <v>46206</v>
      </c>
      <c r="C36" s="57" t="inlineStr">
        <is>
          <t>Independence Day (obs)</t>
        </is>
      </c>
      <c r="D36" s="57" t="inlineStr">
        <is>
          <t>No Settlement</t>
        </is>
      </c>
    </row>
    <row r="37">
      <c r="A37" s="57" t="inlineStr">
        <is>
          <t>US</t>
        </is>
      </c>
      <c r="B37" s="4" t="n">
        <v>46207</v>
      </c>
      <c r="C37" s="57" t="inlineStr">
        <is>
          <t>Independence Day</t>
        </is>
      </c>
      <c r="D37" s="57" t="inlineStr">
        <is>
          <t>No Settlement</t>
        </is>
      </c>
    </row>
    <row r="38">
      <c r="A38" s="57" t="inlineStr">
        <is>
          <t>US</t>
        </is>
      </c>
      <c r="B38" s="4" t="n">
        <v>46272</v>
      </c>
      <c r="C38" s="57" t="inlineStr">
        <is>
          <t>Labor Day</t>
        </is>
      </c>
      <c r="D38" s="57" t="inlineStr">
        <is>
          <t>No Settlement</t>
        </is>
      </c>
    </row>
    <row r="39">
      <c r="A39" s="57" t="inlineStr">
        <is>
          <t>US</t>
        </is>
      </c>
      <c r="B39" s="4" t="n">
        <v>46307</v>
      </c>
      <c r="C39" s="57" t="inlineStr">
        <is>
          <t>Columbus Day (exch Open)</t>
        </is>
      </c>
      <c r="D39" s="57" t="inlineStr">
        <is>
          <t>No Settlement</t>
        </is>
      </c>
    </row>
    <row r="40">
      <c r="A40" s="57" t="inlineStr">
        <is>
          <t>US</t>
        </is>
      </c>
      <c r="B40" s="4" t="n">
        <v>46337</v>
      </c>
      <c r="C40" s="57" t="inlineStr">
        <is>
          <t>Veterans' Day (exch Open)</t>
        </is>
      </c>
      <c r="D40" s="57" t="inlineStr">
        <is>
          <t>No Settlement</t>
        </is>
      </c>
    </row>
    <row r="41">
      <c r="A41" s="57" t="inlineStr">
        <is>
          <t>US</t>
        </is>
      </c>
      <c r="B41" s="4" t="n">
        <v>46352</v>
      </c>
      <c r="C41" s="57" t="inlineStr">
        <is>
          <t>Thanksgiving</t>
        </is>
      </c>
      <c r="D41" s="57" t="inlineStr">
        <is>
          <t>No Settlement</t>
        </is>
      </c>
    </row>
    <row r="42">
      <c r="A42" s="57" t="inlineStr">
        <is>
          <t>US</t>
        </is>
      </c>
      <c r="B42" s="4" t="n">
        <v>46381</v>
      </c>
      <c r="C42" s="57" t="inlineStr">
        <is>
          <t>Christmas Day</t>
        </is>
      </c>
      <c r="D42" s="57" t="inlineStr">
        <is>
          <t>No Settlement</t>
        </is>
      </c>
    </row>
    <row r="43">
      <c r="A43" s="57" t="inlineStr">
        <is>
          <t>US</t>
        </is>
      </c>
      <c r="B43" s="4" t="n">
        <v>46388</v>
      </c>
      <c r="C43" s="57" t="inlineStr">
        <is>
          <t>New Year's Day</t>
        </is>
      </c>
      <c r="D43" s="57" t="inlineStr">
        <is>
          <t>No Settlement</t>
        </is>
      </c>
    </row>
    <row r="44">
      <c r="A44" s="57" t="inlineStr">
        <is>
          <t>US</t>
        </is>
      </c>
      <c r="B44" s="4" t="n">
        <v>46405</v>
      </c>
      <c r="C44" s="57" t="inlineStr">
        <is>
          <t>Martin L. King Day</t>
        </is>
      </c>
      <c r="D44" s="57" t="inlineStr">
        <is>
          <t>No Settlement</t>
        </is>
      </c>
    </row>
    <row r="45">
      <c r="A45" s="57" t="inlineStr">
        <is>
          <t>US</t>
        </is>
      </c>
      <c r="B45" s="4" t="n">
        <v>46433</v>
      </c>
      <c r="C45" s="57" t="inlineStr">
        <is>
          <t>Presidents' Day</t>
        </is>
      </c>
      <c r="D45" s="57" t="inlineStr">
        <is>
          <t>No Settlement</t>
        </is>
      </c>
    </row>
    <row r="46">
      <c r="A46" s="57" t="inlineStr">
        <is>
          <t>US</t>
        </is>
      </c>
      <c r="B46" s="4" t="n">
        <v>46472</v>
      </c>
      <c r="C46" s="57" t="inlineStr">
        <is>
          <t>Good Friday (not Fed Hol)</t>
        </is>
      </c>
      <c r="D46" s="57" t="inlineStr">
        <is>
          <t>No Settlement</t>
        </is>
      </c>
    </row>
    <row r="47">
      <c r="A47" s="57" t="inlineStr">
        <is>
          <t>US</t>
        </is>
      </c>
      <c r="B47" s="4" t="n">
        <v>46538</v>
      </c>
      <c r="C47" s="57" t="inlineStr">
        <is>
          <t>Memorial Day</t>
        </is>
      </c>
      <c r="D47" s="57" t="inlineStr">
        <is>
          <t>No Settlement</t>
        </is>
      </c>
    </row>
    <row r="48">
      <c r="A48" s="57" t="inlineStr">
        <is>
          <t>US</t>
        </is>
      </c>
      <c r="B48" s="4" t="n">
        <v>46556</v>
      </c>
      <c r="C48" s="57" t="inlineStr">
        <is>
          <t>Juneteenth(obs)</t>
        </is>
      </c>
      <c r="D48" s="57" t="inlineStr">
        <is>
          <t>No Settlement</t>
        </is>
      </c>
    </row>
    <row r="49">
      <c r="A49" s="57" t="inlineStr">
        <is>
          <t>US</t>
        </is>
      </c>
      <c r="B49" s="4" t="n">
        <v>46557</v>
      </c>
      <c r="C49" s="57" t="inlineStr">
        <is>
          <t>Juneteenth</t>
        </is>
      </c>
      <c r="D49" s="57" t="inlineStr">
        <is>
          <t>No Settlement</t>
        </is>
      </c>
    </row>
    <row r="50">
      <c r="A50" s="57" t="inlineStr">
        <is>
          <t>US</t>
        </is>
      </c>
      <c r="B50" s="4" t="n">
        <v>46572</v>
      </c>
      <c r="C50" s="57" t="inlineStr">
        <is>
          <t>Independence Day</t>
        </is>
      </c>
      <c r="D50" s="57" t="inlineStr">
        <is>
          <t>No Settlement</t>
        </is>
      </c>
    </row>
    <row r="51">
      <c r="A51" s="57" t="inlineStr">
        <is>
          <t>US</t>
        </is>
      </c>
      <c r="B51" s="4" t="n">
        <v>46573</v>
      </c>
      <c r="C51" s="57" t="inlineStr">
        <is>
          <t>Independence Day (obs)</t>
        </is>
      </c>
      <c r="D51" s="57" t="inlineStr">
        <is>
          <t>No Settlement</t>
        </is>
      </c>
    </row>
    <row r="52">
      <c r="A52" s="57" t="inlineStr">
        <is>
          <t>US</t>
        </is>
      </c>
      <c r="B52" s="4" t="n">
        <v>46636</v>
      </c>
      <c r="C52" s="57" t="inlineStr">
        <is>
          <t>Labor Day</t>
        </is>
      </c>
      <c r="D52" s="57" t="inlineStr">
        <is>
          <t>No Settlement</t>
        </is>
      </c>
    </row>
    <row r="53">
      <c r="A53" s="57" t="inlineStr">
        <is>
          <t>US</t>
        </is>
      </c>
      <c r="B53" s="4" t="n">
        <v>46671</v>
      </c>
      <c r="C53" s="57" t="inlineStr">
        <is>
          <t>Columbus Day (exch Open)</t>
        </is>
      </c>
      <c r="D53" s="57" t="inlineStr">
        <is>
          <t>No Settlement</t>
        </is>
      </c>
    </row>
    <row r="54">
      <c r="A54" s="57" t="inlineStr">
        <is>
          <t>US</t>
        </is>
      </c>
      <c r="B54" s="4" t="n">
        <v>46702</v>
      </c>
      <c r="C54" s="57" t="inlineStr">
        <is>
          <t>Veterans' Day (exch Open)</t>
        </is>
      </c>
      <c r="D54" s="57" t="inlineStr">
        <is>
          <t>No Settlement</t>
        </is>
      </c>
    </row>
    <row r="55">
      <c r="A55" s="57" t="inlineStr">
        <is>
          <t>US</t>
        </is>
      </c>
      <c r="B55" s="4" t="n">
        <v>46716</v>
      </c>
      <c r="C55" s="57" t="inlineStr">
        <is>
          <t>Thanksgiving</t>
        </is>
      </c>
      <c r="D55" s="57" t="inlineStr">
        <is>
          <t>No Settlement</t>
        </is>
      </c>
    </row>
    <row r="56">
      <c r="A56" s="57" t="inlineStr">
        <is>
          <t>US</t>
        </is>
      </c>
      <c r="B56" s="4" t="n">
        <v>46745</v>
      </c>
      <c r="C56" s="57" t="inlineStr">
        <is>
          <t>Christmas Day(obs)</t>
        </is>
      </c>
      <c r="D56" s="57" t="inlineStr">
        <is>
          <t>No Settlement</t>
        </is>
      </c>
    </row>
    <row r="57">
      <c r="A57" s="57" t="inlineStr">
        <is>
          <t>US</t>
        </is>
      </c>
      <c r="B57" s="4" t="n">
        <v>46746</v>
      </c>
      <c r="C57" s="57" t="inlineStr">
        <is>
          <t>Christmas Day</t>
        </is>
      </c>
      <c r="D57" s="57" t="inlineStr">
        <is>
          <t>No Settlement</t>
        </is>
      </c>
    </row>
    <row r="58">
      <c r="A58" s="18" t="inlineStr">
        <is>
          <t>US</t>
        </is>
      </c>
      <c r="B58" s="4" t="n">
        <v>47000</v>
      </c>
      <c r="C58" s="57" t="inlineStr">
        <is>
          <t>N. Holiday</t>
        </is>
      </c>
      <c r="D58" s="57" t="inlineStr">
        <is>
          <t>No Settlement</t>
        </is>
      </c>
    </row>
    <row r="59">
      <c r="A59" s="57" t="inlineStr">
        <is>
          <t>TS</t>
        </is>
      </c>
      <c r="B59" s="4" t="n">
        <v>45292</v>
      </c>
      <c r="C59" s="57" t="inlineStr">
        <is>
          <t>New Year's Day</t>
        </is>
      </c>
      <c r="D59" s="57" t="inlineStr">
        <is>
          <t>No Settlement</t>
        </is>
      </c>
    </row>
    <row r="60">
      <c r="A60" s="57" t="inlineStr">
        <is>
          <t>TS</t>
        </is>
      </c>
      <c r="B60" s="4" t="n">
        <v>45331</v>
      </c>
      <c r="C60" s="57" t="inlineStr">
        <is>
          <t>Special Hlday Declaration</t>
        </is>
      </c>
      <c r="D60" s="57" t="inlineStr">
        <is>
          <t>No Settlement</t>
        </is>
      </c>
    </row>
    <row r="61">
      <c r="A61" s="57" t="inlineStr">
        <is>
          <t>TS</t>
        </is>
      </c>
      <c r="B61" s="4" t="n">
        <v>45332</v>
      </c>
      <c r="C61" s="57" t="inlineStr">
        <is>
          <t>Chinese New Year</t>
        </is>
      </c>
      <c r="D61" s="57" t="inlineStr">
        <is>
          <t>No Settlement</t>
        </is>
      </c>
      <c r="F61" s="57" t="inlineStr">
        <is>
          <t>Weekend</t>
        </is>
      </c>
    </row>
    <row r="62">
      <c r="A62" s="57" t="inlineStr">
        <is>
          <t>TS</t>
        </is>
      </c>
      <c r="B62" s="4" t="n">
        <v>45379</v>
      </c>
      <c r="C62" s="57" t="inlineStr">
        <is>
          <t>Maundy Thursday</t>
        </is>
      </c>
      <c r="D62" s="57" t="inlineStr">
        <is>
          <t>No Settlement</t>
        </is>
      </c>
    </row>
    <row r="63">
      <c r="A63" s="57" t="inlineStr">
        <is>
          <t>TS</t>
        </is>
      </c>
      <c r="B63" s="4" t="n">
        <v>45380</v>
      </c>
      <c r="C63" s="57" t="inlineStr">
        <is>
          <t>Good Friday</t>
        </is>
      </c>
      <c r="D63" s="57" t="inlineStr">
        <is>
          <t>No Settlement</t>
        </is>
      </c>
    </row>
    <row r="64">
      <c r="A64" s="57" t="inlineStr">
        <is>
          <t>TS</t>
        </is>
      </c>
      <c r="B64" s="4" t="n">
        <v>45381</v>
      </c>
      <c r="C64" s="57" t="inlineStr">
        <is>
          <t>Black Saturday</t>
        </is>
      </c>
      <c r="D64" s="57" t="inlineStr">
        <is>
          <t>No Settlement</t>
        </is>
      </c>
      <c r="F64" s="57" t="inlineStr">
        <is>
          <t>Weekend</t>
        </is>
      </c>
    </row>
    <row r="65">
      <c r="A65" s="57" t="inlineStr">
        <is>
          <t>TS</t>
        </is>
      </c>
      <c r="B65" s="4" t="n">
        <v>45391</v>
      </c>
      <c r="C65" s="57" t="inlineStr">
        <is>
          <t>Araw Ng Kagitingan</t>
        </is>
      </c>
      <c r="D65" s="57" t="inlineStr">
        <is>
          <t>No Settlement</t>
        </is>
      </c>
    </row>
    <row r="66">
      <c r="A66" s="57" t="inlineStr">
        <is>
          <t>TS</t>
        </is>
      </c>
      <c r="B66" s="4" t="n">
        <v>45392</v>
      </c>
      <c r="C66" s="57" t="inlineStr">
        <is>
          <t>Eid Al-fitr</t>
        </is>
      </c>
      <c r="D66" s="57" t="inlineStr">
        <is>
          <t>No Settlement</t>
        </is>
      </c>
    </row>
    <row r="67">
      <c r="A67" s="57" t="inlineStr">
        <is>
          <t>TS</t>
        </is>
      </c>
      <c r="B67" s="4" t="n">
        <v>45413</v>
      </c>
      <c r="C67" s="57" t="inlineStr">
        <is>
          <t>Labour Day</t>
        </is>
      </c>
      <c r="D67" s="57" t="inlineStr">
        <is>
          <t>No Settlement</t>
        </is>
      </c>
    </row>
    <row r="68">
      <c r="A68" s="57" t="inlineStr">
        <is>
          <t>TS</t>
        </is>
      </c>
      <c r="B68" s="4" t="n">
        <v>45455</v>
      </c>
      <c r="C68" s="57" t="inlineStr">
        <is>
          <t>Independence Day</t>
        </is>
      </c>
      <c r="D68" s="57" t="inlineStr">
        <is>
          <t>No Settlement</t>
        </is>
      </c>
    </row>
    <row r="69">
      <c r="A69" s="57" t="inlineStr">
        <is>
          <t>TS</t>
        </is>
      </c>
      <c r="B69" s="4" t="n">
        <v>45525</v>
      </c>
      <c r="C69" s="57" t="inlineStr">
        <is>
          <t>Ninoy Aquino Day</t>
        </is>
      </c>
      <c r="D69" s="57" t="inlineStr">
        <is>
          <t>No Settlement</t>
        </is>
      </c>
    </row>
    <row r="70">
      <c r="A70" s="57" t="inlineStr">
        <is>
          <t>TS</t>
        </is>
      </c>
      <c r="B70" s="4" t="n">
        <v>45530</v>
      </c>
      <c r="C70" s="57" t="inlineStr">
        <is>
          <t>National Heroes Day</t>
        </is>
      </c>
      <c r="D70" s="57" t="inlineStr">
        <is>
          <t>No Settlement</t>
        </is>
      </c>
    </row>
    <row r="71">
      <c r="A71" s="57" t="inlineStr">
        <is>
          <t>TS</t>
        </is>
      </c>
      <c r="B71" s="4" t="n">
        <v>45597</v>
      </c>
      <c r="C71" s="57" t="inlineStr">
        <is>
          <t>All Saints Day</t>
        </is>
      </c>
      <c r="D71" s="57" t="inlineStr">
        <is>
          <t>No Settlement</t>
        </is>
      </c>
    </row>
    <row r="72">
      <c r="A72" s="57" t="inlineStr">
        <is>
          <t>TS</t>
        </is>
      </c>
      <c r="B72" s="4" t="n">
        <v>45598</v>
      </c>
      <c r="C72" s="57" t="inlineStr">
        <is>
          <t>All Souls' Day</t>
        </is>
      </c>
      <c r="D72" s="57" t="inlineStr">
        <is>
          <t>No Settlement</t>
        </is>
      </c>
      <c r="F72" s="57" t="inlineStr">
        <is>
          <t>Weekend</t>
        </is>
      </c>
    </row>
    <row r="73">
      <c r="A73" s="57" t="inlineStr">
        <is>
          <t>TS</t>
        </is>
      </c>
      <c r="B73" s="4" t="n">
        <v>45626</v>
      </c>
      <c r="C73" s="57" t="inlineStr">
        <is>
          <t>Bonifacio Day</t>
        </is>
      </c>
      <c r="D73" s="57" t="inlineStr">
        <is>
          <t>No Settlement</t>
        </is>
      </c>
      <c r="F73" s="57" t="inlineStr">
        <is>
          <t>Weekend</t>
        </is>
      </c>
    </row>
    <row r="74">
      <c r="A74" s="57" t="inlineStr">
        <is>
          <t>TS</t>
        </is>
      </c>
      <c r="B74" s="4" t="n">
        <v>45634</v>
      </c>
      <c r="C74" s="57" t="inlineStr">
        <is>
          <t>Immaculate Conception</t>
        </is>
      </c>
      <c r="D74" s="57" t="inlineStr">
        <is>
          <t>No Settlement</t>
        </is>
      </c>
      <c r="F74" s="57" t="inlineStr">
        <is>
          <t>Weekend</t>
        </is>
      </c>
    </row>
    <row r="75">
      <c r="A75" s="57" t="inlineStr">
        <is>
          <t>TS</t>
        </is>
      </c>
      <c r="B75" s="4" t="n">
        <v>45650</v>
      </c>
      <c r="C75" s="57" t="inlineStr">
        <is>
          <t>Christmas Eve</t>
        </is>
      </c>
      <c r="D75" s="57" t="inlineStr">
        <is>
          <t>No Settlement</t>
        </is>
      </c>
    </row>
    <row r="76">
      <c r="A76" s="57" t="inlineStr">
        <is>
          <t>TS</t>
        </is>
      </c>
      <c r="B76" s="4" t="n">
        <v>45651</v>
      </c>
      <c r="C76" s="57" t="inlineStr">
        <is>
          <t>Christmas Day</t>
        </is>
      </c>
      <c r="D76" s="57" t="inlineStr">
        <is>
          <t>No Settlement</t>
        </is>
      </c>
    </row>
    <row r="77">
      <c r="A77" s="57" t="inlineStr">
        <is>
          <t>TS</t>
        </is>
      </c>
      <c r="B77" s="4" t="n">
        <v>45656</v>
      </c>
      <c r="C77" s="57" t="inlineStr">
        <is>
          <t>Rizal Day</t>
        </is>
      </c>
      <c r="D77" s="57" t="inlineStr">
        <is>
          <t>No Settlement</t>
        </is>
      </c>
    </row>
    <row r="78">
      <c r="A78" s="57" t="inlineStr">
        <is>
          <t>TS</t>
        </is>
      </c>
      <c r="B78" s="4" t="n">
        <v>45657</v>
      </c>
      <c r="C78" s="57" t="inlineStr">
        <is>
          <t>Last Day Of Year</t>
        </is>
      </c>
      <c r="D78" s="57" t="inlineStr">
        <is>
          <t>No Settlement</t>
        </is>
      </c>
    </row>
    <row r="79">
      <c r="A79" s="57" t="inlineStr">
        <is>
          <t>TS</t>
        </is>
      </c>
      <c r="B79" s="4" t="n">
        <v>45658</v>
      </c>
      <c r="C79" s="57" t="inlineStr">
        <is>
          <t>New Year's Day</t>
        </is>
      </c>
      <c r="D79" s="57" t="inlineStr">
        <is>
          <t>No Settlement</t>
        </is>
      </c>
    </row>
    <row r="80">
      <c r="A80" s="57" t="inlineStr">
        <is>
          <t>TS</t>
        </is>
      </c>
      <c r="B80" s="4" t="n">
        <v>45700</v>
      </c>
      <c r="C80" s="57" t="inlineStr">
        <is>
          <t>Makha Bucha Day</t>
        </is>
      </c>
      <c r="D80" s="57" t="inlineStr">
        <is>
          <t>No Settlement</t>
        </is>
      </c>
    </row>
    <row r="81">
      <c r="A81" s="57" t="inlineStr">
        <is>
          <t>TS</t>
        </is>
      </c>
      <c r="B81" s="4" t="n">
        <v>45754</v>
      </c>
      <c r="C81" s="57" t="inlineStr">
        <is>
          <t>Shakri Day Obs</t>
        </is>
      </c>
      <c r="D81" s="57" t="inlineStr">
        <is>
          <t>No Settlement</t>
        </is>
      </c>
    </row>
    <row r="82">
      <c r="A82" s="57" t="inlineStr">
        <is>
          <t>TS</t>
        </is>
      </c>
      <c r="B82" s="4" t="n">
        <v>45761</v>
      </c>
      <c r="C82" s="57" t="inlineStr">
        <is>
          <t>Songkran Festival 2</t>
        </is>
      </c>
      <c r="D82" s="57" t="inlineStr">
        <is>
          <t>No Settlement</t>
        </is>
      </c>
    </row>
    <row r="83">
      <c r="A83" s="57" t="inlineStr">
        <is>
          <t>TS</t>
        </is>
      </c>
      <c r="B83" s="4" t="n">
        <v>45762</v>
      </c>
      <c r="C83" s="57" t="inlineStr">
        <is>
          <t>Songkran Festival 3</t>
        </is>
      </c>
      <c r="D83" s="57" t="inlineStr">
        <is>
          <t>No Settlement</t>
        </is>
      </c>
    </row>
    <row r="84">
      <c r="A84" s="57" t="inlineStr">
        <is>
          <t>TS</t>
        </is>
      </c>
      <c r="B84" s="4" t="n">
        <v>45778</v>
      </c>
      <c r="C84" s="57" t="inlineStr">
        <is>
          <t>Labour Day</t>
        </is>
      </c>
      <c r="D84" s="57" t="inlineStr">
        <is>
          <t>No Settlement</t>
        </is>
      </c>
    </row>
    <row r="85">
      <c r="A85" s="57" t="inlineStr">
        <is>
          <t>TS</t>
        </is>
      </c>
      <c r="B85" s="4" t="n">
        <v>45782</v>
      </c>
      <c r="C85" s="57" t="inlineStr">
        <is>
          <t>Coronation Day (obs)</t>
        </is>
      </c>
      <c r="D85" s="57" t="inlineStr">
        <is>
          <t>No Settlement</t>
        </is>
      </c>
    </row>
    <row r="86">
      <c r="A86" s="57" t="inlineStr">
        <is>
          <t>TS</t>
        </is>
      </c>
      <c r="B86" s="4" t="n">
        <v>45789</v>
      </c>
      <c r="C86" s="57" t="inlineStr">
        <is>
          <t>Vishaka Bucha Day*</t>
        </is>
      </c>
      <c r="D86" s="57" t="inlineStr">
        <is>
          <t>Estimated Non-Settlement Day</t>
        </is>
      </c>
    </row>
    <row r="87">
      <c r="A87" s="57" t="inlineStr">
        <is>
          <t>TS</t>
        </is>
      </c>
      <c r="B87" s="4" t="n">
        <v>45810</v>
      </c>
      <c r="C87" s="57" t="inlineStr">
        <is>
          <t>Special Holiday</t>
        </is>
      </c>
      <c r="D87" s="57" t="inlineStr">
        <is>
          <t>No Settlement</t>
        </is>
      </c>
      <c r="F87" s="57" t="inlineStr">
        <is>
          <t>Weekend</t>
        </is>
      </c>
    </row>
    <row r="88">
      <c r="A88" s="57" t="inlineStr">
        <is>
          <t>TS</t>
        </is>
      </c>
      <c r="B88" s="4" t="n">
        <v>45811</v>
      </c>
      <c r="C88" s="57" t="inlineStr">
        <is>
          <t>Queen Suthida's Birthday</t>
        </is>
      </c>
      <c r="D88" s="57" t="inlineStr">
        <is>
          <t>No Settlement</t>
        </is>
      </c>
    </row>
    <row r="89">
      <c r="A89" s="57" t="inlineStr">
        <is>
          <t>TS</t>
        </is>
      </c>
      <c r="B89" s="4" t="n">
        <v>45848</v>
      </c>
      <c r="C89" s="57" t="inlineStr">
        <is>
          <t>Asarnha Bucha Day</t>
        </is>
      </c>
      <c r="D89" s="57" t="inlineStr">
        <is>
          <t>No Settlement</t>
        </is>
      </c>
    </row>
    <row r="90">
      <c r="A90" s="57" t="inlineStr">
        <is>
          <t>TS</t>
        </is>
      </c>
      <c r="B90" s="4" t="n">
        <v>45866</v>
      </c>
      <c r="C90" s="57" t="inlineStr">
        <is>
          <t>King's Birthday</t>
        </is>
      </c>
      <c r="D90" s="57" t="inlineStr">
        <is>
          <t>No Settlement</t>
        </is>
      </c>
    </row>
    <row r="91">
      <c r="A91" s="57" t="inlineStr">
        <is>
          <t>TS</t>
        </is>
      </c>
      <c r="B91" s="4" t="n">
        <v>45880</v>
      </c>
      <c r="C91" s="57" t="inlineStr">
        <is>
          <t>Special Holiday</t>
        </is>
      </c>
      <c r="D91" s="57" t="inlineStr">
        <is>
          <t>No Settlement</t>
        </is>
      </c>
    </row>
    <row r="92">
      <c r="A92" s="57" t="inlineStr">
        <is>
          <t>TS</t>
        </is>
      </c>
      <c r="B92" s="4" t="n">
        <v>45881</v>
      </c>
      <c r="C92" s="57" t="inlineStr">
        <is>
          <t>Queen's Birthday</t>
        </is>
      </c>
      <c r="D92" s="57" t="inlineStr">
        <is>
          <t>No Settlement</t>
        </is>
      </c>
    </row>
    <row r="93">
      <c r="A93" s="57" t="inlineStr">
        <is>
          <t>TS</t>
        </is>
      </c>
      <c r="B93" s="4" t="n">
        <v>45943</v>
      </c>
      <c r="C93" s="57" t="inlineStr">
        <is>
          <t>Death Of King Bhumibol Adu</t>
        </is>
      </c>
      <c r="D93" s="57" t="inlineStr">
        <is>
          <t>No Settlement</t>
        </is>
      </c>
    </row>
    <row r="94">
      <c r="A94" s="57" t="inlineStr">
        <is>
          <t>TS</t>
        </is>
      </c>
      <c r="B94" s="4" t="n">
        <v>45953</v>
      </c>
      <c r="C94" s="57" t="inlineStr">
        <is>
          <t>King Chulalongkorn Day</t>
        </is>
      </c>
      <c r="D94" s="57" t="inlineStr">
        <is>
          <t>No Settlement</t>
        </is>
      </c>
    </row>
    <row r="95">
      <c r="A95" s="57" t="inlineStr">
        <is>
          <t>TS</t>
        </is>
      </c>
      <c r="B95" s="4" t="n">
        <v>45996</v>
      </c>
      <c r="C95" s="57" t="inlineStr">
        <is>
          <t>King's Father Birthday</t>
        </is>
      </c>
      <c r="D95" s="57" t="inlineStr">
        <is>
          <t>No Settlement</t>
        </is>
      </c>
    </row>
    <row r="96">
      <c r="A96" s="57" t="inlineStr">
        <is>
          <t>TS</t>
        </is>
      </c>
      <c r="B96" s="4" t="n">
        <v>46001</v>
      </c>
      <c r="C96" s="57" t="inlineStr">
        <is>
          <t>Constitution Day</t>
        </is>
      </c>
      <c r="D96" s="57" t="inlineStr">
        <is>
          <t>No Settlement</t>
        </is>
      </c>
    </row>
    <row r="97">
      <c r="A97" s="57" t="inlineStr">
        <is>
          <t>TS</t>
        </is>
      </c>
      <c r="B97" s="4" t="n">
        <v>46022</v>
      </c>
      <c r="C97" s="57" t="inlineStr">
        <is>
          <t>New Year's Eve</t>
        </is>
      </c>
      <c r="D97" s="57" t="inlineStr">
        <is>
          <t>No Settlement</t>
        </is>
      </c>
    </row>
    <row r="98">
      <c r="A98" s="57" t="inlineStr">
        <is>
          <t>TS</t>
        </is>
      </c>
      <c r="B98" s="4" t="n">
        <v>46023</v>
      </c>
      <c r="C98" s="57" t="inlineStr">
        <is>
          <t>New Year's Day</t>
        </is>
      </c>
      <c r="D98" s="57" t="inlineStr">
        <is>
          <t>No Settlement</t>
        </is>
      </c>
    </row>
    <row r="99">
      <c r="A99" s="57" t="inlineStr">
        <is>
          <t>TS</t>
        </is>
      </c>
      <c r="B99" s="4" t="n">
        <v>46024</v>
      </c>
      <c r="C99" s="57" t="inlineStr">
        <is>
          <t>New Year Holiday</t>
        </is>
      </c>
      <c r="D99" s="57" t="inlineStr">
        <is>
          <t>No Settlement</t>
        </is>
      </c>
    </row>
    <row r="100">
      <c r="A100" s="57" t="inlineStr">
        <is>
          <t>TS</t>
        </is>
      </c>
      <c r="B100" s="4" t="n">
        <v>46084</v>
      </c>
      <c r="C100" s="57" t="inlineStr">
        <is>
          <t>Makha Bucha Day</t>
        </is>
      </c>
      <c r="D100" s="57" t="inlineStr">
        <is>
          <t>No Settlement</t>
        </is>
      </c>
    </row>
    <row r="101">
      <c r="A101" s="57" t="inlineStr">
        <is>
          <t>TS</t>
        </is>
      </c>
      <c r="B101" s="4" t="n">
        <v>46118</v>
      </c>
      <c r="C101" s="57" t="inlineStr">
        <is>
          <t>Shakri Day</t>
        </is>
      </c>
      <c r="D101" s="57" t="inlineStr">
        <is>
          <t>No Settlement</t>
        </is>
      </c>
    </row>
    <row r="102">
      <c r="A102" s="57" t="inlineStr">
        <is>
          <t>TS</t>
        </is>
      </c>
      <c r="B102" s="4" t="n">
        <v>46125</v>
      </c>
      <c r="C102" s="57" t="inlineStr">
        <is>
          <t>Songkran Festival Day</t>
        </is>
      </c>
      <c r="D102" s="57" t="inlineStr">
        <is>
          <t>No Settlement</t>
        </is>
      </c>
    </row>
    <row r="103">
      <c r="A103" s="57" t="inlineStr">
        <is>
          <t>TS</t>
        </is>
      </c>
      <c r="B103" s="4" t="n">
        <v>46126</v>
      </c>
      <c r="C103" s="57" t="inlineStr">
        <is>
          <t>Songkran Festival Day</t>
        </is>
      </c>
      <c r="D103" s="57" t="inlineStr">
        <is>
          <t>No Settlement</t>
        </is>
      </c>
    </row>
    <row r="104">
      <c r="A104" s="57" t="inlineStr">
        <is>
          <t>TS</t>
        </is>
      </c>
      <c r="B104" s="4" t="n">
        <v>46127</v>
      </c>
      <c r="C104" s="57" t="inlineStr">
        <is>
          <t>Songkran Festival Day</t>
        </is>
      </c>
      <c r="D104" s="57" t="inlineStr">
        <is>
          <t>No Settlement</t>
        </is>
      </c>
    </row>
    <row r="105">
      <c r="A105" s="57" t="inlineStr">
        <is>
          <t>TS</t>
        </is>
      </c>
      <c r="B105" s="4" t="n">
        <v>46143</v>
      </c>
      <c r="C105" s="57" t="inlineStr">
        <is>
          <t>Labour Day</t>
        </is>
      </c>
      <c r="D105" s="57" t="inlineStr">
        <is>
          <t>No Settlement</t>
        </is>
      </c>
    </row>
    <row r="106">
      <c r="A106" s="57" t="inlineStr">
        <is>
          <t>TS</t>
        </is>
      </c>
      <c r="B106" s="4" t="n">
        <v>46146</v>
      </c>
      <c r="C106" s="57" t="inlineStr">
        <is>
          <t>Coronation Day</t>
        </is>
      </c>
      <c r="D106" s="57" t="inlineStr">
        <is>
          <t>No Settlement</t>
        </is>
      </c>
    </row>
    <row r="107">
      <c r="A107" s="57" t="inlineStr">
        <is>
          <t>TS</t>
        </is>
      </c>
      <c r="B107" s="4" t="n">
        <v>46174</v>
      </c>
      <c r="C107" s="57" t="inlineStr">
        <is>
          <t>Vishaka Bucha Day*</t>
        </is>
      </c>
      <c r="D107" s="57" t="inlineStr">
        <is>
          <t>No Settlement</t>
        </is>
      </c>
    </row>
    <row r="108">
      <c r="A108" s="57" t="inlineStr">
        <is>
          <t>TS</t>
        </is>
      </c>
      <c r="B108" s="4" t="n">
        <v>46176</v>
      </c>
      <c r="C108" s="57" t="inlineStr">
        <is>
          <t>Queen Suthida's Birthday</t>
        </is>
      </c>
      <c r="D108" s="57" t="inlineStr">
        <is>
          <t>No Settlement</t>
        </is>
      </c>
    </row>
    <row r="109">
      <c r="A109" s="57" t="inlineStr">
        <is>
          <t>TS</t>
        </is>
      </c>
      <c r="B109" s="4" t="n">
        <v>46231</v>
      </c>
      <c r="C109" s="57" t="inlineStr">
        <is>
          <t>Asarnha Bucha Day</t>
        </is>
      </c>
      <c r="D109" s="57" t="inlineStr">
        <is>
          <t>No Settlement</t>
        </is>
      </c>
    </row>
    <row r="110">
      <c r="A110" s="57" t="inlineStr">
        <is>
          <t>TS</t>
        </is>
      </c>
      <c r="B110" s="4" t="n">
        <v>46246</v>
      </c>
      <c r="C110" s="57" t="inlineStr">
        <is>
          <t>Queen's Birthday</t>
        </is>
      </c>
      <c r="D110" s="57" t="inlineStr">
        <is>
          <t>No Settlement</t>
        </is>
      </c>
    </row>
    <row r="111">
      <c r="A111" s="57" t="inlineStr">
        <is>
          <t>TS</t>
        </is>
      </c>
      <c r="B111" s="4" t="n">
        <v>46308</v>
      </c>
      <c r="C111" s="57" t="inlineStr">
        <is>
          <t>Death Of King Bhumibol Adu</t>
        </is>
      </c>
      <c r="D111" s="57" t="inlineStr">
        <is>
          <t>No Settlement</t>
        </is>
      </c>
    </row>
    <row r="112">
      <c r="A112" s="57" t="inlineStr">
        <is>
          <t>TS</t>
        </is>
      </c>
      <c r="B112" s="4" t="n">
        <v>46318</v>
      </c>
      <c r="C112" s="57" t="inlineStr">
        <is>
          <t>King Chulalongkorn Day</t>
        </is>
      </c>
      <c r="D112" s="57" t="inlineStr">
        <is>
          <t>No Settlement</t>
        </is>
      </c>
    </row>
    <row r="113">
      <c r="A113" s="57" t="inlineStr">
        <is>
          <t>TS</t>
        </is>
      </c>
      <c r="B113" s="4" t="n">
        <v>46363</v>
      </c>
      <c r="C113" s="57" t="inlineStr">
        <is>
          <t>King's Birthday</t>
        </is>
      </c>
      <c r="D113" s="57" t="inlineStr">
        <is>
          <t>No Settlement</t>
        </is>
      </c>
    </row>
    <row r="114">
      <c r="A114" s="57" t="inlineStr">
        <is>
          <t>TS</t>
        </is>
      </c>
      <c r="B114" s="4" t="n">
        <v>46366</v>
      </c>
      <c r="C114" s="57" t="inlineStr">
        <is>
          <t>Constitution Day</t>
        </is>
      </c>
      <c r="D114" s="57" t="inlineStr">
        <is>
          <t>No Settlement</t>
        </is>
      </c>
    </row>
    <row r="115">
      <c r="A115" s="57" t="inlineStr">
        <is>
          <t>TS</t>
        </is>
      </c>
      <c r="B115" s="4" t="n">
        <v>46387</v>
      </c>
      <c r="C115" s="57" t="inlineStr">
        <is>
          <t>New Year's Eve</t>
        </is>
      </c>
      <c r="D115" s="57" t="inlineStr">
        <is>
          <t>No Settlement</t>
        </is>
      </c>
    </row>
    <row r="116">
      <c r="A116" s="57" t="inlineStr">
        <is>
          <t>TS</t>
        </is>
      </c>
      <c r="B116" s="4" t="n">
        <v>46388</v>
      </c>
      <c r="C116" s="57" t="inlineStr">
        <is>
          <t>New Year's Day</t>
        </is>
      </c>
      <c r="D116" s="57" t="inlineStr">
        <is>
          <t>No Settlement</t>
        </is>
      </c>
    </row>
    <row r="117">
      <c r="A117" s="57" t="inlineStr">
        <is>
          <t>TS</t>
        </is>
      </c>
      <c r="B117" s="4" t="n">
        <v>46483</v>
      </c>
      <c r="C117" s="57" t="inlineStr">
        <is>
          <t>Shakri Day</t>
        </is>
      </c>
      <c r="D117" s="57" t="inlineStr">
        <is>
          <t>No Settlement</t>
        </is>
      </c>
    </row>
    <row r="118">
      <c r="A118" s="57" t="inlineStr">
        <is>
          <t>TS</t>
        </is>
      </c>
      <c r="B118" s="4" t="n">
        <v>46490</v>
      </c>
      <c r="C118" s="57" t="inlineStr">
        <is>
          <t xml:space="preserve">Songkran Festival </t>
        </is>
      </c>
      <c r="D118" s="57" t="inlineStr">
        <is>
          <t>No Settlement</t>
        </is>
      </c>
    </row>
    <row r="119">
      <c r="A119" s="57" t="inlineStr">
        <is>
          <t>TS</t>
        </is>
      </c>
      <c r="B119" s="4" t="n">
        <v>46491</v>
      </c>
      <c r="C119" s="57" t="inlineStr">
        <is>
          <t xml:space="preserve">Songkran Festival </t>
        </is>
      </c>
      <c r="D119" s="57" t="inlineStr">
        <is>
          <t>No Settlement</t>
        </is>
      </c>
    </row>
    <row r="120">
      <c r="A120" s="57" t="inlineStr">
        <is>
          <t>TS</t>
        </is>
      </c>
      <c r="B120" s="4" t="n">
        <v>46492</v>
      </c>
      <c r="C120" s="57" t="inlineStr">
        <is>
          <t xml:space="preserve">Songkran Festival </t>
        </is>
      </c>
      <c r="D120" s="57" t="inlineStr">
        <is>
          <t>No Settlement</t>
        </is>
      </c>
    </row>
    <row r="121">
      <c r="A121" s="57" t="inlineStr">
        <is>
          <t>TS</t>
        </is>
      </c>
      <c r="B121" s="4" t="n">
        <v>46510</v>
      </c>
      <c r="C121" s="57" t="inlineStr">
        <is>
          <t>Labour Day (obs)</t>
        </is>
      </c>
      <c r="D121" s="57" t="inlineStr">
        <is>
          <t>No Settlement</t>
        </is>
      </c>
    </row>
    <row r="122">
      <c r="A122" s="57" t="inlineStr">
        <is>
          <t>TS</t>
        </is>
      </c>
      <c r="B122" s="4" t="n">
        <v>46512</v>
      </c>
      <c r="C122" s="57" t="inlineStr">
        <is>
          <t>Coronation Day</t>
        </is>
      </c>
      <c r="D122" s="57" t="inlineStr">
        <is>
          <t>No Settlement</t>
        </is>
      </c>
    </row>
    <row r="123">
      <c r="A123" s="57" t="inlineStr">
        <is>
          <t>TS</t>
        </is>
      </c>
      <c r="B123" s="4" t="n">
        <v>46527</v>
      </c>
      <c r="C123" s="57" t="inlineStr">
        <is>
          <t>Wisaha Bucha Day</t>
        </is>
      </c>
      <c r="D123" s="57" t="inlineStr">
        <is>
          <t>No Settlement</t>
        </is>
      </c>
    </row>
    <row r="124">
      <c r="A124" s="57" t="inlineStr">
        <is>
          <t>TS</t>
        </is>
      </c>
      <c r="B124" s="4" t="n">
        <v>46569</v>
      </c>
      <c r="C124" s="57" t="inlineStr">
        <is>
          <t>Mid-year Holiday</t>
        </is>
      </c>
      <c r="D124" s="57" t="inlineStr">
        <is>
          <t>No Settlement</t>
        </is>
      </c>
    </row>
    <row r="125">
      <c r="A125" s="57" t="inlineStr">
        <is>
          <t>TS</t>
        </is>
      </c>
      <c r="B125" s="4" t="n">
        <v>46585</v>
      </c>
      <c r="C125" s="57" t="inlineStr">
        <is>
          <t>Asarnha Bucha Da</t>
        </is>
      </c>
      <c r="D125" s="57" t="inlineStr">
        <is>
          <t>No Settlement</t>
        </is>
      </c>
    </row>
    <row r="126">
      <c r="A126" s="57" t="inlineStr">
        <is>
          <t>TS</t>
        </is>
      </c>
      <c r="B126" s="4" t="n">
        <v>46611</v>
      </c>
      <c r="C126" s="57" t="inlineStr">
        <is>
          <t>Queen's Birthday</t>
        </is>
      </c>
      <c r="D126" s="57" t="inlineStr">
        <is>
          <t>No Settlement</t>
        </is>
      </c>
    </row>
    <row r="127">
      <c r="A127" s="57" t="inlineStr">
        <is>
          <t>TS</t>
        </is>
      </c>
      <c r="B127" s="4" t="n">
        <v>46685</v>
      </c>
      <c r="C127" s="57" t="inlineStr">
        <is>
          <t>Chulalongkorn Day</t>
        </is>
      </c>
      <c r="D127" s="57" t="inlineStr">
        <is>
          <t>No Settlement</t>
        </is>
      </c>
    </row>
    <row r="128">
      <c r="A128" s="57" t="inlineStr">
        <is>
          <t>TS</t>
        </is>
      </c>
      <c r="B128" s="4" t="n">
        <v>46727</v>
      </c>
      <c r="C128" s="57" t="inlineStr">
        <is>
          <t>King's Birthday (o</t>
        </is>
      </c>
      <c r="D128" s="57" t="inlineStr">
        <is>
          <t>No Settlement</t>
        </is>
      </c>
    </row>
    <row r="129">
      <c r="A129" s="57" t="inlineStr">
        <is>
          <t>TS</t>
        </is>
      </c>
      <c r="B129" s="4" t="n">
        <v>46731</v>
      </c>
      <c r="C129" s="57" t="inlineStr">
        <is>
          <t>Constitution Day</t>
        </is>
      </c>
      <c r="D129" s="57" t="inlineStr">
        <is>
          <t>No Settlement</t>
        </is>
      </c>
    </row>
    <row r="130">
      <c r="A130" s="57" t="inlineStr">
        <is>
          <t>TS</t>
        </is>
      </c>
      <c r="B130" s="4" t="n">
        <v>46752</v>
      </c>
      <c r="C130" s="57" t="inlineStr">
        <is>
          <t>New Year's Eve</t>
        </is>
      </c>
      <c r="D130" s="57" t="inlineStr">
        <is>
          <t>No Settlement</t>
        </is>
      </c>
    </row>
    <row r="131">
      <c r="A131" s="57" t="inlineStr">
        <is>
          <t>S&amp;</t>
        </is>
      </c>
      <c r="B131" s="4" t="n">
        <v>45292</v>
      </c>
      <c r="C131" s="57" t="inlineStr">
        <is>
          <t>New Years Day</t>
        </is>
      </c>
      <c r="D131" s="57" t="inlineStr">
        <is>
          <t>No Settlement</t>
        </is>
      </c>
    </row>
    <row r="132">
      <c r="A132" s="57" t="inlineStr">
        <is>
          <t>S&amp;</t>
        </is>
      </c>
      <c r="B132" s="4" t="n">
        <v>45306</v>
      </c>
      <c r="C132" s="57" t="inlineStr">
        <is>
          <t>Martin L. King Day</t>
        </is>
      </c>
      <c r="D132" s="57" t="inlineStr">
        <is>
          <t>No Settlement</t>
        </is>
      </c>
    </row>
    <row r="133">
      <c r="A133" s="57" t="inlineStr">
        <is>
          <t>S&amp;</t>
        </is>
      </c>
      <c r="B133" s="4" t="n">
        <v>45341</v>
      </c>
      <c r="C133" s="57" t="inlineStr">
        <is>
          <t>Presidents' Day</t>
        </is>
      </c>
      <c r="D133" s="57" t="inlineStr">
        <is>
          <t>No Settlement</t>
        </is>
      </c>
    </row>
    <row r="134">
      <c r="A134" s="57" t="inlineStr">
        <is>
          <t>S&amp;</t>
        </is>
      </c>
      <c r="B134" s="4" t="n">
        <v>45380</v>
      </c>
      <c r="C134" s="57" t="inlineStr">
        <is>
          <t>Good Friday</t>
        </is>
      </c>
      <c r="D134" s="57" t="inlineStr">
        <is>
          <t>No Settlement</t>
        </is>
      </c>
    </row>
    <row r="135">
      <c r="A135" s="57" t="inlineStr">
        <is>
          <t>S&amp;</t>
        </is>
      </c>
      <c r="B135" s="4" t="n">
        <v>45439</v>
      </c>
      <c r="C135" s="57" t="inlineStr">
        <is>
          <t>Memorial Day</t>
        </is>
      </c>
      <c r="D135" s="57" t="inlineStr">
        <is>
          <t>No Settlement</t>
        </is>
      </c>
    </row>
    <row r="136">
      <c r="A136" s="57" t="inlineStr">
        <is>
          <t>S&amp;</t>
        </is>
      </c>
      <c r="B136" s="4" t="n">
        <v>45462</v>
      </c>
      <c r="C136" s="57" t="inlineStr">
        <is>
          <t>Juneteenth</t>
        </is>
      </c>
      <c r="D136" s="57" t="inlineStr">
        <is>
          <t>No Settlement</t>
        </is>
      </c>
    </row>
    <row r="137">
      <c r="A137" s="57" t="inlineStr">
        <is>
          <t>S&amp;</t>
        </is>
      </c>
      <c r="B137" s="4" t="n">
        <v>45477</v>
      </c>
      <c r="C137" s="57" t="inlineStr">
        <is>
          <t>Independence Day</t>
        </is>
      </c>
      <c r="D137" s="57" t="inlineStr">
        <is>
          <t>No Settlement</t>
        </is>
      </c>
    </row>
    <row r="138">
      <c r="A138" s="57" t="inlineStr">
        <is>
          <t>S&amp;</t>
        </is>
      </c>
      <c r="B138" s="4" t="n">
        <v>45537</v>
      </c>
      <c r="C138" s="57" t="inlineStr">
        <is>
          <t>Labor Day</t>
        </is>
      </c>
      <c r="D138" s="57" t="inlineStr">
        <is>
          <t>No Settlement</t>
        </is>
      </c>
    </row>
    <row r="139">
      <c r="A139" s="57" t="inlineStr">
        <is>
          <t>S&amp;</t>
        </is>
      </c>
      <c r="B139" s="4" t="n">
        <v>45579</v>
      </c>
      <c r="C139" s="57" t="inlineStr">
        <is>
          <t>Columbus Day</t>
        </is>
      </c>
      <c r="D139" s="57" t="inlineStr">
        <is>
          <t>No Settlement</t>
        </is>
      </c>
    </row>
    <row r="140">
      <c r="A140" s="57" t="inlineStr">
        <is>
          <t>S&amp;</t>
        </is>
      </c>
      <c r="B140" s="4" t="n">
        <v>45607</v>
      </c>
      <c r="C140" s="57" t="inlineStr">
        <is>
          <t>Veterans' Day</t>
        </is>
      </c>
      <c r="D140" s="57" t="inlineStr">
        <is>
          <t>No Settlement</t>
        </is>
      </c>
    </row>
    <row r="141">
      <c r="A141" s="57" t="inlineStr">
        <is>
          <t>S&amp;</t>
        </is>
      </c>
      <c r="B141" s="4" t="n">
        <v>45624</v>
      </c>
      <c r="C141" s="57" t="inlineStr">
        <is>
          <t>Thanksgiving</t>
        </is>
      </c>
      <c r="D141" s="57" t="inlineStr">
        <is>
          <t>No Settlement</t>
        </is>
      </c>
    </row>
    <row r="142">
      <c r="A142" s="57" t="inlineStr">
        <is>
          <t>S&amp;</t>
        </is>
      </c>
      <c r="B142" s="4" t="n">
        <v>45651</v>
      </c>
      <c r="C142" s="57" t="inlineStr">
        <is>
          <t>Christmas Day</t>
        </is>
      </c>
      <c r="D142" s="57" t="inlineStr">
        <is>
          <t>No Settlement</t>
        </is>
      </c>
    </row>
    <row r="143">
      <c r="A143" s="57" t="inlineStr">
        <is>
          <t>S&amp;</t>
        </is>
      </c>
      <c r="B143" s="4" t="n">
        <v>45658</v>
      </c>
      <c r="C143" s="57" t="inlineStr">
        <is>
          <t>New Year's Day</t>
        </is>
      </c>
      <c r="D143" s="57" t="inlineStr">
        <is>
          <t>No Settlement</t>
        </is>
      </c>
    </row>
    <row r="144">
      <c r="A144" s="57" t="inlineStr">
        <is>
          <t>S&amp;</t>
        </is>
      </c>
      <c r="B144" s="4" t="n">
        <v>45677</v>
      </c>
      <c r="C144" s="57" t="inlineStr">
        <is>
          <t>Martin L. King Day</t>
        </is>
      </c>
      <c r="D144" s="57" t="inlineStr">
        <is>
          <t>No Settlement</t>
        </is>
      </c>
    </row>
    <row r="145">
      <c r="A145" s="57" t="inlineStr">
        <is>
          <t>S&amp;</t>
        </is>
      </c>
      <c r="B145" s="4" t="n">
        <v>45705</v>
      </c>
      <c r="C145" s="57" t="inlineStr">
        <is>
          <t>Presidents' Day</t>
        </is>
      </c>
      <c r="D145" s="57" t="inlineStr">
        <is>
          <t>No Settlement</t>
        </is>
      </c>
    </row>
    <row r="146">
      <c r="A146" s="57" t="inlineStr">
        <is>
          <t>S&amp;</t>
        </is>
      </c>
      <c r="B146" s="4" t="n">
        <v>45765</v>
      </c>
      <c r="C146" s="57" t="inlineStr">
        <is>
          <t>Good Friday</t>
        </is>
      </c>
      <c r="D146" s="57" t="inlineStr">
        <is>
          <t>No Settlement</t>
        </is>
      </c>
    </row>
    <row r="147">
      <c r="A147" s="57" t="inlineStr">
        <is>
          <t>S&amp;</t>
        </is>
      </c>
      <c r="B147" s="4" t="n">
        <v>45803</v>
      </c>
      <c r="C147" s="57" t="inlineStr">
        <is>
          <t>Memorial Day</t>
        </is>
      </c>
      <c r="D147" s="57" t="inlineStr">
        <is>
          <t>No Settlement</t>
        </is>
      </c>
    </row>
    <row r="148">
      <c r="A148" s="57" t="inlineStr">
        <is>
          <t>S&amp;</t>
        </is>
      </c>
      <c r="B148" s="4" t="n">
        <v>45827</v>
      </c>
      <c r="C148" s="57" t="inlineStr">
        <is>
          <t>Juneteenth</t>
        </is>
      </c>
      <c r="D148" s="57" t="inlineStr">
        <is>
          <t>No Settlement</t>
        </is>
      </c>
    </row>
    <row r="149">
      <c r="A149" s="57" t="inlineStr">
        <is>
          <t>S&amp;</t>
        </is>
      </c>
      <c r="B149" s="4" t="n">
        <v>45842</v>
      </c>
      <c r="C149" s="57" t="inlineStr">
        <is>
          <t>Independence Day</t>
        </is>
      </c>
      <c r="D149" s="57" t="inlineStr">
        <is>
          <t>No Settlement</t>
        </is>
      </c>
    </row>
    <row r="150">
      <c r="A150" s="57" t="inlineStr">
        <is>
          <t>S&amp;</t>
        </is>
      </c>
      <c r="B150" s="4" t="n">
        <v>45901</v>
      </c>
      <c r="C150" s="57" t="inlineStr">
        <is>
          <t>Labor Day</t>
        </is>
      </c>
      <c r="D150" s="57" t="inlineStr">
        <is>
          <t>No Settlement</t>
        </is>
      </c>
    </row>
    <row r="151">
      <c r="A151" s="57" t="inlineStr">
        <is>
          <t>S&amp;</t>
        </is>
      </c>
      <c r="B151" s="4" t="n">
        <v>45943</v>
      </c>
      <c r="C151" s="57" t="inlineStr">
        <is>
          <t>Columbus Day</t>
        </is>
      </c>
      <c r="D151" s="57" t="inlineStr">
        <is>
          <t>No Settlement</t>
        </is>
      </c>
    </row>
    <row r="152">
      <c r="A152" s="57" t="inlineStr">
        <is>
          <t>S&amp;</t>
        </is>
      </c>
      <c r="B152" s="4" t="n">
        <v>45972</v>
      </c>
      <c r="C152" s="57" t="inlineStr">
        <is>
          <t>Veterans' Day</t>
        </is>
      </c>
      <c r="D152" s="57" t="inlineStr">
        <is>
          <t>No Settlement</t>
        </is>
      </c>
    </row>
    <row r="153">
      <c r="A153" s="57" t="inlineStr">
        <is>
          <t>S&amp;</t>
        </is>
      </c>
      <c r="B153" s="4" t="n">
        <v>45988</v>
      </c>
      <c r="C153" s="57" t="inlineStr">
        <is>
          <t>Thanksgiving</t>
        </is>
      </c>
      <c r="D153" s="57" t="inlineStr">
        <is>
          <t>No Settlement</t>
        </is>
      </c>
    </row>
    <row r="154">
      <c r="A154" s="57" t="inlineStr">
        <is>
          <t>S&amp;</t>
        </is>
      </c>
      <c r="B154" s="4" t="n">
        <v>46016</v>
      </c>
      <c r="C154" s="57" t="inlineStr">
        <is>
          <t>Christmas Day</t>
        </is>
      </c>
      <c r="D154" s="57" t="inlineStr">
        <is>
          <t>No Settlement</t>
        </is>
      </c>
    </row>
    <row r="155">
      <c r="A155" s="57" t="inlineStr">
        <is>
          <t>S&amp;</t>
        </is>
      </c>
      <c r="B155" s="4" t="n">
        <v>46023</v>
      </c>
      <c r="C155" s="57" t="inlineStr">
        <is>
          <t>New Year's Day</t>
        </is>
      </c>
      <c r="D155" s="57" t="inlineStr">
        <is>
          <t>No Settlement</t>
        </is>
      </c>
    </row>
    <row r="156">
      <c r="A156" s="57" t="inlineStr">
        <is>
          <t>S&amp;</t>
        </is>
      </c>
      <c r="B156" s="4" t="n">
        <v>46041</v>
      </c>
      <c r="C156" s="57" t="inlineStr">
        <is>
          <t>Martin L. King Day</t>
        </is>
      </c>
      <c r="D156" s="57" t="inlineStr">
        <is>
          <t>No Settlement</t>
        </is>
      </c>
    </row>
    <row r="157">
      <c r="A157" s="57" t="inlineStr">
        <is>
          <t>S&amp;</t>
        </is>
      </c>
      <c r="B157" s="4" t="n">
        <v>46069</v>
      </c>
      <c r="C157" s="57" t="inlineStr">
        <is>
          <t>Presidents' Day</t>
        </is>
      </c>
      <c r="D157" s="57" t="inlineStr">
        <is>
          <t>No Settlement</t>
        </is>
      </c>
    </row>
    <row r="158">
      <c r="A158" s="57" t="inlineStr">
        <is>
          <t>S&amp;</t>
        </is>
      </c>
      <c r="B158" s="4" t="n">
        <v>46167</v>
      </c>
      <c r="C158" s="57" t="inlineStr">
        <is>
          <t>Memorial Day</t>
        </is>
      </c>
      <c r="D158" s="57" t="inlineStr">
        <is>
          <t>No Settlement</t>
        </is>
      </c>
    </row>
    <row r="159">
      <c r="A159" s="57" t="inlineStr">
        <is>
          <t>S&amp;</t>
        </is>
      </c>
      <c r="B159" s="4" t="n">
        <v>46192</v>
      </c>
      <c r="C159" s="57" t="inlineStr">
        <is>
          <t>Juneteenth</t>
        </is>
      </c>
      <c r="D159" s="57" t="inlineStr">
        <is>
          <t>No Settlement</t>
        </is>
      </c>
    </row>
    <row r="160">
      <c r="A160" s="57" t="inlineStr">
        <is>
          <t>S&amp;</t>
        </is>
      </c>
      <c r="B160" s="4" t="n">
        <v>46206</v>
      </c>
      <c r="C160" s="57" t="inlineStr">
        <is>
          <t>Independence Day (obs)</t>
        </is>
      </c>
      <c r="D160" s="57" t="inlineStr">
        <is>
          <t>No Settlement</t>
        </is>
      </c>
    </row>
    <row r="161">
      <c r="A161" s="57" t="inlineStr">
        <is>
          <t>S&amp;</t>
        </is>
      </c>
      <c r="B161" s="4" t="n">
        <v>46272</v>
      </c>
      <c r="C161" s="57" t="inlineStr">
        <is>
          <t>Labor Day</t>
        </is>
      </c>
      <c r="D161" s="57" t="inlineStr">
        <is>
          <t>No Settlement</t>
        </is>
      </c>
    </row>
    <row r="162">
      <c r="A162" s="57" t="inlineStr">
        <is>
          <t>S&amp;</t>
        </is>
      </c>
      <c r="B162" s="4" t="n">
        <v>46307</v>
      </c>
      <c r="C162" s="57" t="inlineStr">
        <is>
          <t>Columbus Day</t>
        </is>
      </c>
      <c r="D162" s="57" t="inlineStr">
        <is>
          <t>No Settlement</t>
        </is>
      </c>
    </row>
    <row r="163">
      <c r="A163" s="57" t="inlineStr">
        <is>
          <t>S&amp;</t>
        </is>
      </c>
      <c r="B163" s="4" t="n">
        <v>46337</v>
      </c>
      <c r="C163" s="57" t="inlineStr">
        <is>
          <t>Veterans' Day</t>
        </is>
      </c>
      <c r="D163" s="57" t="inlineStr">
        <is>
          <t>No Settlement</t>
        </is>
      </c>
    </row>
    <row r="164">
      <c r="A164" s="57" t="inlineStr">
        <is>
          <t>S&amp;</t>
        </is>
      </c>
      <c r="B164" s="4" t="n">
        <v>46352</v>
      </c>
      <c r="C164" s="57" t="inlineStr">
        <is>
          <t>Thanksgiving</t>
        </is>
      </c>
      <c r="D164" s="57" t="inlineStr">
        <is>
          <t>No Settlement</t>
        </is>
      </c>
    </row>
    <row r="165">
      <c r="A165" s="57" t="inlineStr">
        <is>
          <t>S&amp;</t>
        </is>
      </c>
      <c r="B165" s="4" t="n">
        <v>46381</v>
      </c>
      <c r="C165" s="57" t="inlineStr">
        <is>
          <t>Christmas Day</t>
        </is>
      </c>
      <c r="D165" s="57" t="inlineStr">
        <is>
          <t>No Settlement</t>
        </is>
      </c>
    </row>
    <row r="166">
      <c r="A166" s="57" t="inlineStr">
        <is>
          <t>EN</t>
        </is>
      </c>
      <c r="B166" s="4" t="n">
        <v>45331</v>
      </c>
      <c r="C166" s="57" t="inlineStr">
        <is>
          <t>Special Hlday Declaration</t>
        </is>
      </c>
      <c r="D166" s="57" t="inlineStr">
        <is>
          <t>No Settlement</t>
        </is>
      </c>
    </row>
    <row r="167">
      <c r="A167" s="57" t="inlineStr">
        <is>
          <t>EN</t>
        </is>
      </c>
      <c r="B167" s="4" t="n">
        <v>45332</v>
      </c>
      <c r="C167" s="57" t="inlineStr">
        <is>
          <t>Chinese New Year</t>
        </is>
      </c>
      <c r="D167" s="57" t="inlineStr">
        <is>
          <t>No Settlement</t>
        </is>
      </c>
      <c r="F167" s="57" t="inlineStr">
        <is>
          <t>Weekend</t>
        </is>
      </c>
    </row>
    <row r="168">
      <c r="A168" s="57" t="inlineStr">
        <is>
          <t>EN</t>
        </is>
      </c>
      <c r="B168" s="4" t="n">
        <v>45379</v>
      </c>
      <c r="C168" s="57" t="inlineStr">
        <is>
          <t>Maundy Thursday</t>
        </is>
      </c>
      <c r="D168" s="57" t="inlineStr">
        <is>
          <t>No Settlement</t>
        </is>
      </c>
    </row>
    <row r="169">
      <c r="A169" s="57" t="inlineStr">
        <is>
          <t>EN</t>
        </is>
      </c>
      <c r="B169" s="4" t="n">
        <v>45380</v>
      </c>
      <c r="C169" s="57" t="inlineStr">
        <is>
          <t>Good Friday</t>
        </is>
      </c>
      <c r="D169" s="57" t="inlineStr">
        <is>
          <t>No Settlement</t>
        </is>
      </c>
    </row>
    <row r="170">
      <c r="A170" s="57" t="inlineStr">
        <is>
          <t>EN</t>
        </is>
      </c>
      <c r="B170" s="4" t="n">
        <v>45381</v>
      </c>
      <c r="C170" s="57" t="inlineStr">
        <is>
          <t>Black Saturday</t>
        </is>
      </c>
      <c r="D170" s="57" t="inlineStr">
        <is>
          <t>No Settlement</t>
        </is>
      </c>
      <c r="F170" s="57" t="inlineStr">
        <is>
          <t>Weekend</t>
        </is>
      </c>
    </row>
    <row r="171">
      <c r="A171" s="57" t="inlineStr">
        <is>
          <t>EN</t>
        </is>
      </c>
      <c r="B171" s="4" t="n">
        <v>45391</v>
      </c>
      <c r="C171" s="57" t="inlineStr">
        <is>
          <t>Araw Ng Kagitingan</t>
        </is>
      </c>
      <c r="D171" s="57" t="inlineStr">
        <is>
          <t>No Settlement</t>
        </is>
      </c>
    </row>
    <row r="172">
      <c r="A172" s="57" t="inlineStr">
        <is>
          <t>EN</t>
        </is>
      </c>
      <c r="B172" s="4" t="n">
        <v>45392</v>
      </c>
      <c r="C172" s="57" t="inlineStr">
        <is>
          <t>Eid Al-fitr</t>
        </is>
      </c>
      <c r="D172" s="57" t="inlineStr">
        <is>
          <t>No Settlement</t>
        </is>
      </c>
    </row>
    <row r="173">
      <c r="A173" s="57" t="inlineStr">
        <is>
          <t>EN</t>
        </is>
      </c>
      <c r="B173" s="4" t="n">
        <v>45413</v>
      </c>
      <c r="C173" s="57" t="inlineStr">
        <is>
          <t>Labour Day</t>
        </is>
      </c>
      <c r="D173" s="57" t="inlineStr">
        <is>
          <t>No Settlement</t>
        </is>
      </c>
    </row>
    <row r="174">
      <c r="A174" s="57" t="inlineStr">
        <is>
          <t>EN</t>
        </is>
      </c>
      <c r="B174" s="4" t="n">
        <v>45455</v>
      </c>
      <c r="C174" s="57" t="inlineStr">
        <is>
          <t>Independence Day</t>
        </is>
      </c>
      <c r="D174" s="57" t="inlineStr">
        <is>
          <t>No Settlement</t>
        </is>
      </c>
    </row>
    <row r="175">
      <c r="A175" s="57" t="inlineStr">
        <is>
          <t>EN</t>
        </is>
      </c>
      <c r="B175" s="4" t="n">
        <v>45525</v>
      </c>
      <c r="C175" s="57" t="inlineStr">
        <is>
          <t>Ninoy Aquino Day</t>
        </is>
      </c>
      <c r="D175" s="57" t="inlineStr">
        <is>
          <t>No Settlement</t>
        </is>
      </c>
    </row>
    <row r="176">
      <c r="A176" s="57" t="inlineStr">
        <is>
          <t>EN</t>
        </is>
      </c>
      <c r="B176" s="4" t="n">
        <v>45530</v>
      </c>
      <c r="C176" s="57" t="inlineStr">
        <is>
          <t>National Heroes Day</t>
        </is>
      </c>
      <c r="D176" s="57" t="inlineStr">
        <is>
          <t>No Settlement</t>
        </is>
      </c>
    </row>
    <row r="177">
      <c r="A177" s="57" t="inlineStr">
        <is>
          <t>EN</t>
        </is>
      </c>
      <c r="B177" s="4" t="n">
        <v>45597</v>
      </c>
      <c r="C177" s="57" t="inlineStr">
        <is>
          <t>All Saints Day</t>
        </is>
      </c>
      <c r="D177" s="57" t="inlineStr">
        <is>
          <t>No Settlement</t>
        </is>
      </c>
    </row>
    <row r="178">
      <c r="A178" s="57" t="inlineStr">
        <is>
          <t>EN</t>
        </is>
      </c>
      <c r="B178" s="4" t="n">
        <v>45598</v>
      </c>
      <c r="C178" s="57" t="inlineStr">
        <is>
          <t>All Souls' Day</t>
        </is>
      </c>
      <c r="D178" s="57" t="inlineStr">
        <is>
          <t>No Settlement</t>
        </is>
      </c>
      <c r="F178" s="57" t="inlineStr">
        <is>
          <t>Weekend</t>
        </is>
      </c>
    </row>
    <row r="179">
      <c r="A179" s="57" t="inlineStr">
        <is>
          <t>EN</t>
        </is>
      </c>
      <c r="B179" s="4" t="n">
        <v>45626</v>
      </c>
      <c r="C179" s="57" t="inlineStr">
        <is>
          <t>Bonifacio Day</t>
        </is>
      </c>
      <c r="D179" s="57" t="inlineStr">
        <is>
          <t>No Settlement</t>
        </is>
      </c>
      <c r="F179" s="57" t="inlineStr">
        <is>
          <t>Weekend</t>
        </is>
      </c>
    </row>
    <row r="180">
      <c r="A180" s="57" t="inlineStr">
        <is>
          <t>EN</t>
        </is>
      </c>
      <c r="B180" s="4" t="n">
        <v>45634</v>
      </c>
      <c r="C180" s="57" t="inlineStr">
        <is>
          <t>Immaculate Conception</t>
        </is>
      </c>
      <c r="D180" s="57" t="inlineStr">
        <is>
          <t>No Settlement</t>
        </is>
      </c>
      <c r="F180" s="57" t="inlineStr">
        <is>
          <t>Weekend</t>
        </is>
      </c>
    </row>
    <row r="181">
      <c r="A181" s="57" t="inlineStr">
        <is>
          <t>EN</t>
        </is>
      </c>
      <c r="B181" s="4" t="n">
        <v>45650</v>
      </c>
      <c r="C181" s="57" t="inlineStr">
        <is>
          <t>Christmas Eve</t>
        </is>
      </c>
      <c r="D181" s="57" t="inlineStr">
        <is>
          <t>No Settlement</t>
        </is>
      </c>
    </row>
    <row r="182">
      <c r="A182" s="57" t="inlineStr">
        <is>
          <t>EN</t>
        </is>
      </c>
      <c r="B182" s="4" t="n">
        <v>45651</v>
      </c>
      <c r="C182" s="57" t="inlineStr">
        <is>
          <t>Christmas Day</t>
        </is>
      </c>
      <c r="D182" s="57" t="inlineStr">
        <is>
          <t>No Settlement</t>
        </is>
      </c>
    </row>
    <row r="183">
      <c r="A183" s="57" t="inlineStr">
        <is>
          <t>EN</t>
        </is>
      </c>
      <c r="B183" s="4" t="n">
        <v>45656</v>
      </c>
      <c r="C183" s="57" t="inlineStr">
        <is>
          <t>Rizal Day</t>
        </is>
      </c>
      <c r="D183" s="57" t="inlineStr">
        <is>
          <t>No Settlement</t>
        </is>
      </c>
    </row>
    <row r="184">
      <c r="A184" s="57" t="inlineStr">
        <is>
          <t>EN</t>
        </is>
      </c>
      <c r="B184" s="4" t="n">
        <v>45657</v>
      </c>
      <c r="C184" s="57" t="inlineStr">
        <is>
          <t>Last Day Of Year</t>
        </is>
      </c>
      <c r="D184" s="57" t="inlineStr">
        <is>
          <t>No Settlement</t>
        </is>
      </c>
    </row>
    <row r="185">
      <c r="A185" s="57" t="inlineStr">
        <is>
          <t>EN</t>
        </is>
      </c>
      <c r="B185" s="4" t="n">
        <v>45658</v>
      </c>
      <c r="C185" s="57" t="inlineStr">
        <is>
          <t>New Year's Day</t>
        </is>
      </c>
      <c r="D185" s="57" t="inlineStr">
        <is>
          <t>No Settlement</t>
        </is>
      </c>
    </row>
    <row r="186">
      <c r="A186" s="57" t="inlineStr">
        <is>
          <t>EN</t>
        </is>
      </c>
      <c r="B186" s="4" t="n">
        <v>45756</v>
      </c>
      <c r="C186" s="57" t="inlineStr">
        <is>
          <t>Araw ng Kagitingan</t>
        </is>
      </c>
      <c r="D186" s="57" t="inlineStr">
        <is>
          <t>No Settlement</t>
        </is>
      </c>
    </row>
    <row r="187">
      <c r="A187" s="57" t="inlineStr">
        <is>
          <t>EN</t>
        </is>
      </c>
      <c r="B187" s="4" t="n">
        <v>45764</v>
      </c>
      <c r="C187" s="57" t="inlineStr">
        <is>
          <t>Maundy Thursday</t>
        </is>
      </c>
      <c r="D187" s="57" t="inlineStr">
        <is>
          <t>No Settlement</t>
        </is>
      </c>
    </row>
    <row r="188">
      <c r="A188" s="57" t="inlineStr">
        <is>
          <t>EN</t>
        </is>
      </c>
      <c r="B188" s="4" t="n">
        <v>45778</v>
      </c>
      <c r="C188" s="57" t="inlineStr">
        <is>
          <t>Labour Day</t>
        </is>
      </c>
      <c r="D188" s="57" t="inlineStr">
        <is>
          <t>No Settlement</t>
        </is>
      </c>
    </row>
    <row r="189">
      <c r="A189" s="57" t="inlineStr">
        <is>
          <t>JP</t>
        </is>
      </c>
      <c r="B189" s="4" t="n">
        <v>45658</v>
      </c>
      <c r="C189" s="57" t="inlineStr">
        <is>
          <t>New Year's Day</t>
        </is>
      </c>
      <c r="D189" s="57" t="inlineStr">
        <is>
          <t>No Settlement</t>
        </is>
      </c>
    </row>
    <row r="190">
      <c r="A190" s="57" t="inlineStr">
        <is>
          <t>JP</t>
        </is>
      </c>
      <c r="B190" s="4" t="n">
        <v>45659</v>
      </c>
      <c r="C190" s="57" t="inlineStr">
        <is>
          <t>Bank Day</t>
        </is>
      </c>
      <c r="D190" s="57" t="inlineStr">
        <is>
          <t>No Settlement</t>
        </is>
      </c>
    </row>
    <row r="191">
      <c r="A191" s="57" t="inlineStr">
        <is>
          <t>JP</t>
        </is>
      </c>
      <c r="B191" s="4" t="n">
        <v>45660</v>
      </c>
      <c r="C191" s="57" t="inlineStr">
        <is>
          <t>Bank Day</t>
        </is>
      </c>
      <c r="D191" s="57" t="inlineStr">
        <is>
          <t>No Settlement</t>
        </is>
      </c>
    </row>
    <row r="192">
      <c r="A192" s="57" t="inlineStr">
        <is>
          <t>JP</t>
        </is>
      </c>
      <c r="B192" s="4" t="n">
        <v>45670</v>
      </c>
      <c r="C192" s="57" t="inlineStr">
        <is>
          <t>Coming of age Day</t>
        </is>
      </c>
      <c r="D192" s="57" t="inlineStr">
        <is>
          <t>No Settlement</t>
        </is>
      </c>
    </row>
    <row r="193">
      <c r="A193" s="57" t="inlineStr">
        <is>
          <t>JP</t>
        </is>
      </c>
      <c r="B193" s="4" t="n">
        <v>45699</v>
      </c>
      <c r="C193" s="57" t="inlineStr">
        <is>
          <t>National Fundation</t>
        </is>
      </c>
      <c r="D193" s="57" t="inlineStr">
        <is>
          <t>No Settlement</t>
        </is>
      </c>
    </row>
    <row r="194">
      <c r="A194" s="57" t="inlineStr">
        <is>
          <t>JP</t>
        </is>
      </c>
      <c r="B194" s="4" t="n">
        <v>45711</v>
      </c>
      <c r="C194" s="57" t="inlineStr">
        <is>
          <t>Emperor's Birthday</t>
        </is>
      </c>
      <c r="D194" s="57" t="inlineStr">
        <is>
          <t>No Settlement</t>
        </is>
      </c>
    </row>
    <row r="195">
      <c r="A195" s="57" t="inlineStr">
        <is>
          <t>JP</t>
        </is>
      </c>
      <c r="B195" s="4" t="n">
        <v>45712</v>
      </c>
      <c r="C195" s="57" t="inlineStr">
        <is>
          <t>Emperor's Birthday</t>
        </is>
      </c>
      <c r="D195" s="57" t="inlineStr">
        <is>
          <t>No Settlement</t>
        </is>
      </c>
    </row>
    <row r="196">
      <c r="A196" s="57" t="inlineStr">
        <is>
          <t>JP</t>
        </is>
      </c>
      <c r="B196" s="4" t="n">
        <v>45736</v>
      </c>
      <c r="C196" s="57" t="inlineStr">
        <is>
          <t>Vernal Equinox Day</t>
        </is>
      </c>
      <c r="D196" s="57" t="inlineStr">
        <is>
          <t>No Settlement</t>
        </is>
      </c>
    </row>
    <row r="197">
      <c r="A197" s="57" t="inlineStr">
        <is>
          <t>JP</t>
        </is>
      </c>
      <c r="B197" s="4" t="n">
        <v>45776</v>
      </c>
      <c r="C197" s="57" t="inlineStr">
        <is>
          <t>Showa Day</t>
        </is>
      </c>
      <c r="D197" s="57" t="inlineStr">
        <is>
          <t>No Settlement</t>
        </is>
      </c>
    </row>
    <row r="198">
      <c r="A198" s="57" t="inlineStr">
        <is>
          <t>JP</t>
        </is>
      </c>
      <c r="B198" s="4" t="n">
        <v>45780</v>
      </c>
      <c r="C198" s="57" t="inlineStr">
        <is>
          <t>Constitution Day</t>
        </is>
      </c>
      <c r="D198" s="57" t="inlineStr">
        <is>
          <t>No Settlement</t>
        </is>
      </c>
    </row>
    <row r="199">
      <c r="A199" s="57" t="inlineStr">
        <is>
          <t>JP</t>
        </is>
      </c>
      <c r="B199" s="4" t="n">
        <v>45781</v>
      </c>
      <c r="C199" s="57" t="inlineStr">
        <is>
          <t>Greenery Day</t>
        </is>
      </c>
      <c r="D199" s="57" t="inlineStr">
        <is>
          <t>No Settlement</t>
        </is>
      </c>
    </row>
    <row r="200">
      <c r="A200" s="57" t="inlineStr">
        <is>
          <t>JP</t>
        </is>
      </c>
      <c r="B200" s="4" t="n">
        <v>45782</v>
      </c>
      <c r="C200" s="57" t="inlineStr">
        <is>
          <t>Childrens Day</t>
        </is>
      </c>
      <c r="D200" s="57" t="inlineStr">
        <is>
          <t>No Settlement</t>
        </is>
      </c>
    </row>
    <row r="201">
      <c r="A201" s="57" t="inlineStr">
        <is>
          <t>JP</t>
        </is>
      </c>
      <c r="B201" s="4" t="n">
        <v>45783</v>
      </c>
      <c r="C201" s="57" t="inlineStr">
        <is>
          <t>National Holiday</t>
        </is>
      </c>
      <c r="D201" s="57" t="inlineStr">
        <is>
          <t>No Settlement</t>
        </is>
      </c>
    </row>
    <row r="202">
      <c r="A202" s="57" t="inlineStr">
        <is>
          <t>JP</t>
        </is>
      </c>
      <c r="B202" s="4" t="n">
        <v>45859</v>
      </c>
      <c r="C202" s="57" t="inlineStr">
        <is>
          <t>Marine Day</t>
        </is>
      </c>
      <c r="D202" s="57" t="inlineStr">
        <is>
          <t>No Settlement</t>
        </is>
      </c>
    </row>
    <row r="203">
      <c r="A203" s="57" t="inlineStr">
        <is>
          <t>JP</t>
        </is>
      </c>
      <c r="B203" s="4" t="n">
        <v>45880</v>
      </c>
      <c r="C203" s="57" t="inlineStr">
        <is>
          <t>Mountain Day</t>
        </is>
      </c>
      <c r="D203" s="57" t="inlineStr">
        <is>
          <t>No Settlement</t>
        </is>
      </c>
    </row>
    <row r="204">
      <c r="A204" s="57" t="inlineStr">
        <is>
          <t>JP</t>
        </is>
      </c>
      <c r="B204" s="4" t="n">
        <v>45915</v>
      </c>
      <c r="C204" s="57" t="inlineStr">
        <is>
          <t>Respect For Age Day</t>
        </is>
      </c>
      <c r="D204" s="57" t="inlineStr">
        <is>
          <t>No Settlement</t>
        </is>
      </c>
      <c r="L204" s="4" t="n"/>
    </row>
    <row r="205">
      <c r="A205" s="57" t="inlineStr">
        <is>
          <t>JP</t>
        </is>
      </c>
      <c r="B205" s="4" t="n">
        <v>45923</v>
      </c>
      <c r="C205" s="57" t="inlineStr">
        <is>
          <t>Autumnal Equinox</t>
        </is>
      </c>
      <c r="D205" s="57" t="inlineStr">
        <is>
          <t>No Settlement</t>
        </is>
      </c>
    </row>
    <row r="206">
      <c r="A206" s="57" t="inlineStr">
        <is>
          <t>JP</t>
        </is>
      </c>
      <c r="B206" s="4" t="n">
        <v>45943</v>
      </c>
      <c r="C206" s="57" t="inlineStr">
        <is>
          <t>Health sports day</t>
        </is>
      </c>
      <c r="D206" s="57" t="inlineStr">
        <is>
          <t>No Settlement</t>
        </is>
      </c>
    </row>
    <row r="207">
      <c r="A207" s="57" t="inlineStr">
        <is>
          <t>JP</t>
        </is>
      </c>
      <c r="B207" s="4" t="n">
        <v>45964</v>
      </c>
      <c r="C207" s="57" t="inlineStr">
        <is>
          <t>Culture Day</t>
        </is>
      </c>
      <c r="D207" s="57" t="inlineStr">
        <is>
          <t>No Settlement</t>
        </is>
      </c>
    </row>
    <row r="208">
      <c r="A208" s="57" t="inlineStr">
        <is>
          <t>JP</t>
        </is>
      </c>
      <c r="B208" s="4" t="n">
        <v>45985</v>
      </c>
      <c r="C208" s="57" t="inlineStr">
        <is>
          <t>Labor Thanksgiving</t>
        </is>
      </c>
      <c r="D208" s="57" t="inlineStr">
        <is>
          <t>No Settlement</t>
        </is>
      </c>
    </row>
    <row r="209">
      <c r="A209" s="57" t="inlineStr">
        <is>
          <t>JP</t>
        </is>
      </c>
      <c r="B209" s="4" t="n">
        <v>46022</v>
      </c>
      <c r="C209" s="57" t="inlineStr">
        <is>
          <t>New Years Eve</t>
        </is>
      </c>
      <c r="D209" s="57" t="inlineStr">
        <is>
          <t>No Settlement</t>
        </is>
      </c>
    </row>
    <row r="210">
      <c r="A210" s="57" t="inlineStr">
        <is>
          <t>JP</t>
        </is>
      </c>
      <c r="B210" s="4" t="n">
        <v>46023</v>
      </c>
      <c r="C210" s="57" t="inlineStr">
        <is>
          <t>New Year's Day</t>
        </is>
      </c>
      <c r="D210" s="57" t="inlineStr">
        <is>
          <t>No Settlement</t>
        </is>
      </c>
    </row>
    <row r="211">
      <c r="A211" s="57" t="inlineStr">
        <is>
          <t>JP</t>
        </is>
      </c>
      <c r="B211" s="4" t="n">
        <v>46024</v>
      </c>
      <c r="C211" s="57" t="inlineStr">
        <is>
          <t>New Year's Day</t>
        </is>
      </c>
      <c r="D211" s="57" t="inlineStr">
        <is>
          <t>No Settlement</t>
        </is>
      </c>
    </row>
    <row r="212">
      <c r="A212" s="57" t="inlineStr">
        <is>
          <t>JP</t>
        </is>
      </c>
      <c r="B212" s="4" t="n">
        <v>46025</v>
      </c>
      <c r="C212" s="57" t="inlineStr">
        <is>
          <t>Bank Holiday</t>
        </is>
      </c>
      <c r="D212" s="57" t="inlineStr">
        <is>
          <t>No Settlement</t>
        </is>
      </c>
    </row>
    <row r="213">
      <c r="A213" s="57" t="inlineStr">
        <is>
          <t>JP</t>
        </is>
      </c>
      <c r="B213" s="4" t="n">
        <v>46034</v>
      </c>
      <c r="C213" s="57" t="inlineStr">
        <is>
          <t>Coming-of-age Day</t>
        </is>
      </c>
      <c r="D213" s="57" t="inlineStr">
        <is>
          <t>No Settlement</t>
        </is>
      </c>
    </row>
    <row r="214">
      <c r="A214" s="57" t="inlineStr">
        <is>
          <t>JP</t>
        </is>
      </c>
      <c r="B214" s="4" t="n">
        <v>46064</v>
      </c>
      <c r="C214" s="57" t="inlineStr">
        <is>
          <t>National Foundation</t>
        </is>
      </c>
      <c r="D214" s="57" t="inlineStr">
        <is>
          <t>No Settlement</t>
        </is>
      </c>
    </row>
    <row r="215">
      <c r="A215" s="57" t="inlineStr">
        <is>
          <t>JP</t>
        </is>
      </c>
      <c r="B215" s="4" t="n">
        <v>46076</v>
      </c>
      <c r="C215" s="57" t="inlineStr">
        <is>
          <t>Emperor's Birthday</t>
        </is>
      </c>
      <c r="D215" s="57" t="inlineStr">
        <is>
          <t>No Settlement</t>
        </is>
      </c>
    </row>
    <row r="216">
      <c r="A216" s="57" t="inlineStr">
        <is>
          <t>JP</t>
        </is>
      </c>
      <c r="B216" s="4" t="n">
        <v>46101</v>
      </c>
      <c r="C216" s="57" t="inlineStr">
        <is>
          <t>Vernal Equinox Day</t>
        </is>
      </c>
      <c r="D216" s="57" t="inlineStr">
        <is>
          <t>No Settlement</t>
        </is>
      </c>
    </row>
    <row r="217">
      <c r="A217" s="57" t="inlineStr">
        <is>
          <t>JP</t>
        </is>
      </c>
      <c r="B217" s="4" t="n">
        <v>46141</v>
      </c>
      <c r="C217" s="57" t="inlineStr">
        <is>
          <t>Showa Day</t>
        </is>
      </c>
      <c r="D217" s="57" t="inlineStr">
        <is>
          <t>No Settlement</t>
        </is>
      </c>
    </row>
    <row r="218">
      <c r="A218" s="57" t="inlineStr">
        <is>
          <t>JP</t>
        </is>
      </c>
      <c r="B218" s="4" t="n">
        <v>46145</v>
      </c>
      <c r="C218" s="57" t="inlineStr">
        <is>
          <t>Constitution Memori</t>
        </is>
      </c>
      <c r="D218" s="57" t="inlineStr">
        <is>
          <t>No Settlement</t>
        </is>
      </c>
    </row>
    <row r="219">
      <c r="A219" s="57" t="inlineStr">
        <is>
          <t>JP</t>
        </is>
      </c>
      <c r="B219" s="4" t="n">
        <v>46146</v>
      </c>
      <c r="C219" s="57" t="inlineStr">
        <is>
          <t>Greenery Day</t>
        </is>
      </c>
      <c r="D219" s="57" t="inlineStr">
        <is>
          <t>No Settlement</t>
        </is>
      </c>
    </row>
    <row r="220">
      <c r="A220" s="57" t="inlineStr">
        <is>
          <t>JP</t>
        </is>
      </c>
      <c r="B220" s="4" t="n">
        <v>46147</v>
      </c>
      <c r="C220" s="57" t="inlineStr">
        <is>
          <t>Children's Day</t>
        </is>
      </c>
      <c r="D220" s="57" t="inlineStr">
        <is>
          <t>No Settlement</t>
        </is>
      </c>
    </row>
    <row r="221">
      <c r="A221" s="57" t="inlineStr">
        <is>
          <t>JP</t>
        </is>
      </c>
      <c r="B221" s="4" t="n">
        <v>46148</v>
      </c>
      <c r="C221" s="57" t="inlineStr">
        <is>
          <t>National Holiday</t>
        </is>
      </c>
      <c r="D221" s="57" t="inlineStr">
        <is>
          <t>No Settlement</t>
        </is>
      </c>
    </row>
    <row r="222">
      <c r="A222" s="57" t="inlineStr">
        <is>
          <t>JP</t>
        </is>
      </c>
      <c r="B222" s="4" t="n">
        <v>46223</v>
      </c>
      <c r="C222" s="57" t="inlineStr">
        <is>
          <t>Marine Day</t>
        </is>
      </c>
      <c r="D222" s="57" t="inlineStr">
        <is>
          <t>No Settlement</t>
        </is>
      </c>
    </row>
    <row r="223">
      <c r="A223" s="57" t="inlineStr">
        <is>
          <t>JP</t>
        </is>
      </c>
      <c r="B223" s="4" t="n">
        <v>46245</v>
      </c>
      <c r="C223" s="57" t="inlineStr">
        <is>
          <t>Mountain Day</t>
        </is>
      </c>
      <c r="D223" s="57" t="inlineStr">
        <is>
          <t>No Settlement</t>
        </is>
      </c>
    </row>
    <row r="224">
      <c r="A224" s="57" t="inlineStr">
        <is>
          <t>JP</t>
        </is>
      </c>
      <c r="B224" s="4" t="n">
        <v>46286</v>
      </c>
      <c r="C224" s="57" t="inlineStr">
        <is>
          <t>Respect-for-the-age</t>
        </is>
      </c>
      <c r="D224" s="57" t="inlineStr">
        <is>
          <t>No Settlement</t>
        </is>
      </c>
    </row>
    <row r="225">
      <c r="A225" s="57" t="inlineStr">
        <is>
          <t>JP</t>
        </is>
      </c>
      <c r="B225" s="4" t="n">
        <v>46287</v>
      </c>
      <c r="C225" s="57" t="inlineStr">
        <is>
          <t>National Holiday</t>
        </is>
      </c>
      <c r="D225" s="57" t="inlineStr">
        <is>
          <t>No Settlement</t>
        </is>
      </c>
    </row>
    <row r="226">
      <c r="A226" s="57" t="inlineStr">
        <is>
          <t>JP</t>
        </is>
      </c>
      <c r="B226" s="4" t="n">
        <v>46288</v>
      </c>
      <c r="C226" s="57" t="inlineStr">
        <is>
          <t>Autumnal Equinox Da</t>
        </is>
      </c>
      <c r="D226" s="57" t="inlineStr">
        <is>
          <t>No Settlement</t>
        </is>
      </c>
    </row>
    <row r="227">
      <c r="A227" s="57" t="inlineStr">
        <is>
          <t>JP</t>
        </is>
      </c>
      <c r="B227" s="4" t="n">
        <v>46307</v>
      </c>
      <c r="C227" s="57" t="inlineStr">
        <is>
          <t>Health-sports Day</t>
        </is>
      </c>
      <c r="D227" s="57" t="inlineStr">
        <is>
          <t>No Settlement</t>
        </is>
      </c>
    </row>
    <row r="228">
      <c r="A228" s="57" t="inlineStr">
        <is>
          <t>JP</t>
        </is>
      </c>
      <c r="B228" s="4" t="n">
        <v>46329</v>
      </c>
      <c r="C228" s="57" t="inlineStr">
        <is>
          <t>Culture Day</t>
        </is>
      </c>
      <c r="D228" s="57" t="inlineStr">
        <is>
          <t>No Settlement</t>
        </is>
      </c>
    </row>
    <row r="229">
      <c r="A229" s="57" t="inlineStr">
        <is>
          <t>JP</t>
        </is>
      </c>
      <c r="B229" s="4" t="n">
        <v>46349</v>
      </c>
      <c r="C229" s="57" t="inlineStr">
        <is>
          <t xml:space="preserve">Labor Thanksgiving </t>
        </is>
      </c>
      <c r="D229" s="57" t="inlineStr">
        <is>
          <t>No Settlement</t>
        </is>
      </c>
    </row>
    <row r="230">
      <c r="A230" s="57" t="inlineStr">
        <is>
          <t>JP</t>
        </is>
      </c>
      <c r="B230" s="4" t="n">
        <v>46387</v>
      </c>
      <c r="C230" s="57" t="inlineStr">
        <is>
          <t>Bank Holiday</t>
        </is>
      </c>
      <c r="D230" s="57" t="inlineStr">
        <is>
          <t>No Settlement</t>
        </is>
      </c>
    </row>
    <row r="231">
      <c r="A231" s="57" t="inlineStr">
        <is>
          <t>JP</t>
        </is>
      </c>
      <c r="B231" s="4" t="n">
        <v>46388</v>
      </c>
      <c r="C231" s="57" t="inlineStr">
        <is>
          <t>New Year's Day</t>
        </is>
      </c>
      <c r="D231" s="57" t="inlineStr">
        <is>
          <t>No Settlement</t>
        </is>
      </c>
    </row>
    <row r="232">
      <c r="A232" s="57" t="inlineStr">
        <is>
          <t>JP</t>
        </is>
      </c>
      <c r="B232" s="4" t="n">
        <v>46389</v>
      </c>
      <c r="C232" s="57" t="inlineStr">
        <is>
          <t>New Year's Day</t>
        </is>
      </c>
      <c r="D232" s="57" t="inlineStr">
        <is>
          <t>No Settlement</t>
        </is>
      </c>
    </row>
    <row r="233">
      <c r="A233" s="57" t="inlineStr">
        <is>
          <t>JP</t>
        </is>
      </c>
      <c r="B233" s="4" t="n">
        <v>46390</v>
      </c>
      <c r="C233" s="57" t="inlineStr">
        <is>
          <t>Bank Holiday</t>
        </is>
      </c>
      <c r="D233" s="57" t="inlineStr">
        <is>
          <t>No Settlement</t>
        </is>
      </c>
    </row>
    <row r="234">
      <c r="A234" s="57" t="inlineStr">
        <is>
          <t>JP</t>
        </is>
      </c>
      <c r="B234" s="4" t="n">
        <v>46398</v>
      </c>
      <c r="C234" s="57" t="inlineStr">
        <is>
          <t>Coming-of-age Day</t>
        </is>
      </c>
      <c r="D234" s="57" t="inlineStr">
        <is>
          <t>No Settlement</t>
        </is>
      </c>
    </row>
    <row r="235">
      <c r="A235" s="57" t="inlineStr">
        <is>
          <t>JP</t>
        </is>
      </c>
      <c r="B235" s="4" t="n">
        <v>46429</v>
      </c>
      <c r="C235" s="57" t="inlineStr">
        <is>
          <t>National Foundation</t>
        </is>
      </c>
      <c r="D235" s="57" t="inlineStr">
        <is>
          <t>No Settlement</t>
        </is>
      </c>
    </row>
    <row r="236">
      <c r="A236" s="57" t="inlineStr">
        <is>
          <t>JP</t>
        </is>
      </c>
      <c r="B236" s="4" t="n">
        <v>46441</v>
      </c>
      <c r="C236" s="57" t="inlineStr">
        <is>
          <t>Emperor's Birthday</t>
        </is>
      </c>
      <c r="D236" s="57" t="inlineStr">
        <is>
          <t>No Settlement</t>
        </is>
      </c>
    </row>
    <row r="237">
      <c r="A237" s="57" t="inlineStr">
        <is>
          <t>JP</t>
        </is>
      </c>
      <c r="B237" s="4" t="n">
        <v>46468</v>
      </c>
      <c r="C237" s="57" t="inlineStr">
        <is>
          <t xml:space="preserve">Vernal Equinox Day </t>
        </is>
      </c>
      <c r="D237" s="57" t="inlineStr">
        <is>
          <t>No Settlement</t>
        </is>
      </c>
    </row>
    <row r="238">
      <c r="A238" s="57" t="inlineStr">
        <is>
          <t>JP</t>
        </is>
      </c>
      <c r="B238" s="4" t="n">
        <v>46506</v>
      </c>
      <c r="C238" s="57" t="inlineStr">
        <is>
          <t>Showa Day</t>
        </is>
      </c>
      <c r="D238" s="57" t="inlineStr">
        <is>
          <t>No Settlement</t>
        </is>
      </c>
    </row>
    <row r="239">
      <c r="A239" s="57" t="inlineStr">
        <is>
          <t>JP</t>
        </is>
      </c>
      <c r="B239" s="4" t="n">
        <v>46510</v>
      </c>
      <c r="C239" s="57" t="inlineStr">
        <is>
          <t>Constitution Memori</t>
        </is>
      </c>
      <c r="D239" s="57" t="inlineStr">
        <is>
          <t>No Settlement</t>
        </is>
      </c>
    </row>
    <row r="240">
      <c r="A240" s="57" t="inlineStr">
        <is>
          <t>JP</t>
        </is>
      </c>
      <c r="B240" s="4" t="n">
        <v>46511</v>
      </c>
      <c r="C240" s="57" t="inlineStr">
        <is>
          <t>Greenery Day</t>
        </is>
      </c>
      <c r="D240" s="57" t="inlineStr">
        <is>
          <t>No Settlement</t>
        </is>
      </c>
    </row>
    <row r="241">
      <c r="A241" s="57" t="inlineStr">
        <is>
          <t>JP</t>
        </is>
      </c>
      <c r="B241" s="4" t="n">
        <v>46512</v>
      </c>
      <c r="C241" s="57" t="inlineStr">
        <is>
          <t>Children's Day</t>
        </is>
      </c>
      <c r="D241" s="57" t="inlineStr">
        <is>
          <t>No Settlement</t>
        </is>
      </c>
    </row>
    <row r="242">
      <c r="A242" s="57" t="inlineStr">
        <is>
          <t>JP</t>
        </is>
      </c>
      <c r="B242" s="4" t="n">
        <v>46587</v>
      </c>
      <c r="C242" s="57" t="inlineStr">
        <is>
          <t>Marine Day</t>
        </is>
      </c>
      <c r="D242" s="57" t="inlineStr">
        <is>
          <t>No Settlement</t>
        </is>
      </c>
    </row>
    <row r="243">
      <c r="A243" s="57" t="inlineStr">
        <is>
          <t>JP</t>
        </is>
      </c>
      <c r="B243" s="4" t="n">
        <v>46610</v>
      </c>
      <c r="C243" s="57" t="inlineStr">
        <is>
          <t>Mountain Day</t>
        </is>
      </c>
      <c r="D243" s="57" t="inlineStr">
        <is>
          <t>No Settlement</t>
        </is>
      </c>
    </row>
    <row r="244">
      <c r="A244" s="57" t="inlineStr">
        <is>
          <t>JP</t>
        </is>
      </c>
      <c r="B244" s="4" t="n">
        <v>46650</v>
      </c>
      <c r="C244" s="57" t="inlineStr">
        <is>
          <t>Respect-for-the-age</t>
        </is>
      </c>
      <c r="D244" s="57" t="inlineStr">
        <is>
          <t>No Settlement</t>
        </is>
      </c>
    </row>
    <row r="245">
      <c r="A245" s="57" t="inlineStr">
        <is>
          <t>JP</t>
        </is>
      </c>
      <c r="B245" s="4" t="n">
        <v>46653</v>
      </c>
      <c r="C245" s="57" t="inlineStr">
        <is>
          <t>Autumnal Equinox D</t>
        </is>
      </c>
      <c r="D245" s="57" t="inlineStr">
        <is>
          <t>No Settlement</t>
        </is>
      </c>
    </row>
    <row r="246">
      <c r="A246" s="57" t="inlineStr">
        <is>
          <t>JP</t>
        </is>
      </c>
      <c r="B246" s="4" t="n">
        <v>46671</v>
      </c>
      <c r="C246" s="57" t="inlineStr">
        <is>
          <t>Health-sports Day</t>
        </is>
      </c>
      <c r="D246" s="57" t="inlineStr">
        <is>
          <t>No Settlement</t>
        </is>
      </c>
    </row>
    <row r="247">
      <c r="A247" s="57" t="inlineStr">
        <is>
          <t>JP</t>
        </is>
      </c>
      <c r="B247" s="4" t="n">
        <v>46694</v>
      </c>
      <c r="C247" s="57" t="inlineStr">
        <is>
          <t>Culture Day</t>
        </is>
      </c>
      <c r="D247" s="57" t="inlineStr">
        <is>
          <t>No Settlement</t>
        </is>
      </c>
    </row>
    <row r="248">
      <c r="A248" s="57" t="inlineStr">
        <is>
          <t>JP</t>
        </is>
      </c>
      <c r="B248" s="4" t="n">
        <v>46714</v>
      </c>
      <c r="C248" s="57" t="inlineStr">
        <is>
          <t>Labor Thanksgiving</t>
        </is>
      </c>
      <c r="D248" s="57" t="inlineStr">
        <is>
          <t>No Settlement</t>
        </is>
      </c>
    </row>
    <row r="249">
      <c r="A249" s="57" t="inlineStr">
        <is>
          <t>JP</t>
        </is>
      </c>
      <c r="B249" s="4" t="n">
        <v>46752</v>
      </c>
      <c r="C249" s="57" t="inlineStr">
        <is>
          <t>Bank Holiday</t>
        </is>
      </c>
      <c r="D249" s="57" t="inlineStr">
        <is>
          <t>No Settlement</t>
        </is>
      </c>
    </row>
    <row r="250">
      <c r="A250" s="57" t="inlineStr">
        <is>
          <t>JP</t>
        </is>
      </c>
      <c r="B250" s="4" t="n">
        <v>46752</v>
      </c>
      <c r="C250" s="57" t="inlineStr">
        <is>
          <t>Bank Holiday</t>
        </is>
      </c>
      <c r="D250" s="57" t="inlineStr">
        <is>
          <t>No Settlement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6"/>
  <sheetViews>
    <sheetView topLeftCell="A55" workbookViewId="0">
      <selection activeCell="A1" sqref="A1"/>
    </sheetView>
  </sheetViews>
  <sheetFormatPr baseColWidth="8" defaultRowHeight="15.75"/>
  <sheetData>
    <row r="1">
      <c r="A1" t="inlineStr">
        <is>
          <t>SENSITIVITY ANALYSIS</t>
        </is>
      </c>
      <c r="B1" t="inlineStr">
        <is>
          <t>Generated: 2025-11-17 14:35:10</t>
        </is>
      </c>
    </row>
    <row r="3">
      <c r="A3" t="inlineStr">
        <is>
          <t>BOOKING ID: CCS-001</t>
        </is>
      </c>
    </row>
    <row r="4">
      <c r="A4" t="inlineStr">
        <is>
          <t>FX DELTA (1% bump)</t>
        </is>
      </c>
    </row>
    <row r="5">
      <c r="A5" t="inlineStr">
        <is>
          <t>Currency Pair</t>
        </is>
      </c>
      <c r="B5" t="inlineStr">
        <is>
          <t>FX Delta</t>
        </is>
      </c>
    </row>
    <row r="6">
      <c r="A6" t="inlineStr">
        <is>
          <t>USDTHB</t>
        </is>
      </c>
      <c r="B6" t="n">
        <v>380.2667824544528</v>
      </c>
    </row>
    <row r="7">
      <c r="A7" t="inlineStr">
        <is>
          <t>USDJPY</t>
        </is>
      </c>
      <c r="B7" t="n">
        <v>4.774847184307873e-10</v>
      </c>
    </row>
    <row r="9">
      <c r="A9" t="inlineStr">
        <is>
          <t>IR DV01 (1 bp bump)</t>
        </is>
      </c>
    </row>
    <row r="10">
      <c r="A10" t="inlineStr">
        <is>
          <t>JPY_TONR Curve</t>
        </is>
      </c>
    </row>
    <row r="11">
      <c r="A11" t="inlineStr">
        <is>
          <t>Tenor</t>
        </is>
      </c>
      <c r="B11" t="inlineStr">
        <is>
          <t>Rate (%)</t>
        </is>
      </c>
      <c r="C11" t="inlineStr">
        <is>
          <t>DV01</t>
        </is>
      </c>
    </row>
    <row r="12">
      <c r="A12" t="inlineStr">
        <is>
          <t>1W</t>
        </is>
      </c>
      <c r="B12" t="n">
        <v>0.47873</v>
      </c>
      <c r="C12" t="n">
        <v>-0.04455639855041227</v>
      </c>
    </row>
    <row r="13">
      <c r="A13" t="inlineStr">
        <is>
          <t>2W</t>
        </is>
      </c>
      <c r="B13" t="n">
        <v>0.47875</v>
      </c>
      <c r="C13" t="n">
        <v>0.04420082062483743</v>
      </c>
    </row>
    <row r="14">
      <c r="A14" t="inlineStr">
        <is>
          <t>3W</t>
        </is>
      </c>
      <c r="B14" t="n">
        <v>0.47875</v>
      </c>
      <c r="C14" t="n">
        <v>-0.01784942211565976</v>
      </c>
    </row>
    <row r="15">
      <c r="A15" t="inlineStr">
        <is>
          <t>1M</t>
        </is>
      </c>
      <c r="B15" t="n">
        <v>0.48025</v>
      </c>
      <c r="C15" t="n">
        <v>0.01159848029055865</v>
      </c>
    </row>
    <row r="16">
      <c r="A16" t="inlineStr">
        <is>
          <t>2M</t>
        </is>
      </c>
      <c r="B16" t="n">
        <v>0.49641</v>
      </c>
      <c r="C16" t="n">
        <v>0.0002490756005499861</v>
      </c>
    </row>
    <row r="17">
      <c r="A17" t="inlineStr">
        <is>
          <t>3M</t>
        </is>
      </c>
      <c r="B17" t="n">
        <v>0.51749</v>
      </c>
      <c r="C17" t="n">
        <v>-0.01966652313763007</v>
      </c>
    </row>
    <row r="18">
      <c r="A18" t="inlineStr">
        <is>
          <t>4M</t>
        </is>
      </c>
      <c r="B18" t="n">
        <v>0.54238</v>
      </c>
      <c r="C18" t="n">
        <v>0.02099531827457213</v>
      </c>
    </row>
    <row r="19">
      <c r="A19" t="inlineStr">
        <is>
          <t>5M</t>
        </is>
      </c>
      <c r="B19" t="n">
        <v>0.56684</v>
      </c>
      <c r="C19" t="n">
        <v>-0.0009732341241033282</v>
      </c>
    </row>
    <row r="20">
      <c r="A20" t="inlineStr">
        <is>
          <t>6M</t>
        </is>
      </c>
      <c r="B20" t="n">
        <v>0.58592</v>
      </c>
      <c r="C20" t="n">
        <v>0.003069518818620054</v>
      </c>
    </row>
    <row r="21">
      <c r="A21" t="inlineStr">
        <is>
          <t>7M</t>
        </is>
      </c>
      <c r="B21" t="n">
        <v>0.60625</v>
      </c>
      <c r="C21" t="n">
        <v>-0.02770347327441414</v>
      </c>
    </row>
    <row r="22">
      <c r="A22" t="inlineStr">
        <is>
          <t>8M</t>
        </is>
      </c>
      <c r="B22" t="n">
        <v>0.62409</v>
      </c>
      <c r="C22" t="n">
        <v>0.03290217357880465</v>
      </c>
    </row>
    <row r="23">
      <c r="A23" t="inlineStr">
        <is>
          <t>9M</t>
        </is>
      </c>
      <c r="B23" t="n">
        <v>0.64412</v>
      </c>
      <c r="C23" t="n">
        <v>0.08726781527548155</v>
      </c>
    </row>
    <row r="24">
      <c r="A24" t="inlineStr">
        <is>
          <t>10M</t>
        </is>
      </c>
      <c r="B24" t="n">
        <v>0.6607499999999999</v>
      </c>
      <c r="C24" t="n">
        <v>-0.1849225621617734</v>
      </c>
    </row>
    <row r="25">
      <c r="A25" t="inlineStr">
        <is>
          <t>11M</t>
        </is>
      </c>
      <c r="B25" t="n">
        <v>0.67825</v>
      </c>
      <c r="C25" t="n">
        <v>0.3822394117064505</v>
      </c>
    </row>
    <row r="26">
      <c r="A26" t="inlineStr">
        <is>
          <t>12M</t>
        </is>
      </c>
      <c r="B26" t="n">
        <v>0.6965</v>
      </c>
      <c r="C26" t="n">
        <v>-0.3940961380469616</v>
      </c>
    </row>
    <row r="27">
      <c r="A27" t="inlineStr">
        <is>
          <t>15M</t>
        </is>
      </c>
      <c r="B27" t="n">
        <v>0.73993</v>
      </c>
      <c r="C27" t="n">
        <v>0.1052862740220917</v>
      </c>
    </row>
    <row r="28">
      <c r="A28" t="inlineStr">
        <is>
          <t>18M</t>
        </is>
      </c>
      <c r="B28" t="n">
        <v>0.7777500000000001</v>
      </c>
      <c r="C28" t="n">
        <v>0.008131356586090988</v>
      </c>
    </row>
    <row r="29">
      <c r="A29" t="inlineStr">
        <is>
          <t>21M</t>
        </is>
      </c>
      <c r="B29" t="n">
        <v>0.81375</v>
      </c>
      <c r="C29" t="n">
        <v>0.07751483718834606</v>
      </c>
    </row>
    <row r="30">
      <c r="A30" t="inlineStr">
        <is>
          <t>2Y</t>
        </is>
      </c>
      <c r="B30" t="n">
        <v>0.8425</v>
      </c>
      <c r="C30" t="n">
        <v>-0.06657461096233419</v>
      </c>
    </row>
    <row r="31">
      <c r="A31" t="inlineStr">
        <is>
          <t>3Y</t>
        </is>
      </c>
      <c r="B31" t="n">
        <v>0.9325</v>
      </c>
      <c r="C31" t="n">
        <v>0.05347734491510892</v>
      </c>
    </row>
    <row r="32">
      <c r="A32" t="inlineStr">
        <is>
          <t>4Y</t>
        </is>
      </c>
      <c r="B32" t="n">
        <v>0.99625</v>
      </c>
      <c r="C32" t="n">
        <v>0.04649332442181731</v>
      </c>
    </row>
    <row r="33">
      <c r="A33" t="inlineStr">
        <is>
          <t>5Y</t>
        </is>
      </c>
      <c r="B33" t="n">
        <v>1.05125</v>
      </c>
      <c r="C33" t="n">
        <v>0.0600059706855518</v>
      </c>
    </row>
    <row r="34">
      <c r="A34" t="inlineStr">
        <is>
          <t>6Y</t>
        </is>
      </c>
      <c r="B34" t="n">
        <v>1.1075</v>
      </c>
      <c r="C34" t="n">
        <v>0.06974474341700443</v>
      </c>
    </row>
    <row r="35">
      <c r="A35" t="inlineStr">
        <is>
          <t>7Y</t>
        </is>
      </c>
      <c r="B35" t="n">
        <v>1.17</v>
      </c>
      <c r="C35" t="n">
        <v>0.08092358382759812</v>
      </c>
    </row>
    <row r="36">
      <c r="A36" t="inlineStr">
        <is>
          <t>8Y</t>
        </is>
      </c>
      <c r="B36" t="n">
        <v>1.23625</v>
      </c>
      <c r="C36" t="n">
        <v>0.09314190187910754</v>
      </c>
    </row>
    <row r="37">
      <c r="A37" t="inlineStr">
        <is>
          <t>9Y</t>
        </is>
      </c>
      <c r="B37" t="n">
        <v>1.30625</v>
      </c>
      <c r="C37" t="n">
        <v>0.102926732285141</v>
      </c>
    </row>
    <row r="38">
      <c r="A38" t="inlineStr">
        <is>
          <t>10Y</t>
        </is>
      </c>
      <c r="B38" t="n">
        <v>1.38</v>
      </c>
      <c r="C38" t="n">
        <v>0.8260938591922695</v>
      </c>
    </row>
    <row r="39">
      <c r="A39" t="inlineStr">
        <is>
          <t>11Y</t>
        </is>
      </c>
      <c r="B39" t="n">
        <v>1.46</v>
      </c>
      <c r="C39" t="n">
        <v>-1.947862156141355</v>
      </c>
    </row>
    <row r="40">
      <c r="A40" t="inlineStr">
        <is>
          <t>12Y</t>
        </is>
      </c>
      <c r="B40" t="n">
        <v>1.53625</v>
      </c>
      <c r="C40" t="n">
        <v>1.28355606094965</v>
      </c>
    </row>
    <row r="41">
      <c r="A41" t="inlineStr">
        <is>
          <t>15Y</t>
        </is>
      </c>
      <c r="B41" t="n">
        <v>1.78</v>
      </c>
      <c r="C41" t="n">
        <v>9.487677743891254e-06</v>
      </c>
    </row>
    <row r="42">
      <c r="A42" t="inlineStr">
        <is>
          <t>20Y</t>
        </is>
      </c>
      <c r="B42" t="n">
        <v>2.13125</v>
      </c>
      <c r="C42" t="n">
        <v>-8.303686627186835e-10</v>
      </c>
    </row>
    <row r="43">
      <c r="A43" t="inlineStr">
        <is>
          <t>25Y</t>
        </is>
      </c>
      <c r="B43" t="n">
        <v>2.3525</v>
      </c>
      <c r="C43" t="n">
        <v>-1.23463905765675e-09</v>
      </c>
    </row>
    <row r="44">
      <c r="A44" t="inlineStr">
        <is>
          <t>30Y</t>
        </is>
      </c>
      <c r="B44" t="n">
        <v>2.48525</v>
      </c>
      <c r="C44" t="n">
        <v>-1.310354491579346e-09</v>
      </c>
    </row>
    <row r="45">
      <c r="A45" t="inlineStr">
        <is>
          <t>35Y</t>
        </is>
      </c>
      <c r="B45" t="n">
        <v>2.57375</v>
      </c>
      <c r="C45" t="n">
        <v>-1.004082150757313e-09</v>
      </c>
    </row>
    <row r="46">
      <c r="A46" t="inlineStr">
        <is>
          <t>40Y</t>
        </is>
      </c>
      <c r="B46" t="n">
        <v>2.63025</v>
      </c>
      <c r="C46" t="n">
        <v>6.002665031701326e-11</v>
      </c>
    </row>
    <row r="48">
      <c r="A48" t="inlineStr">
        <is>
          <t>USD_SOFR Curve</t>
        </is>
      </c>
    </row>
    <row r="49">
      <c r="A49" t="inlineStr">
        <is>
          <t>Tenor</t>
        </is>
      </c>
      <c r="B49" t="inlineStr">
        <is>
          <t>Rate (%)</t>
        </is>
      </c>
      <c r="C49" t="inlineStr">
        <is>
          <t>DV01</t>
        </is>
      </c>
    </row>
    <row r="50">
      <c r="A50" t="inlineStr">
        <is>
          <t>1W</t>
        </is>
      </c>
      <c r="B50" t="n">
        <v>4.3637</v>
      </c>
      <c r="C50" t="n">
        <v>9.675773071649019e-08</v>
      </c>
    </row>
    <row r="51">
      <c r="A51" t="inlineStr">
        <is>
          <t>2W</t>
        </is>
      </c>
      <c r="B51" t="n">
        <v>4.23585</v>
      </c>
      <c r="C51" t="n">
        <v>7.469102456525434e-07</v>
      </c>
    </row>
    <row r="52">
      <c r="A52" t="inlineStr">
        <is>
          <t>3W</t>
        </is>
      </c>
      <c r="B52" t="n">
        <v>4.21635</v>
      </c>
      <c r="C52" t="n">
        <v>-9.322320693172514e-12</v>
      </c>
    </row>
    <row r="53">
      <c r="A53" t="inlineStr">
        <is>
          <t>1M</t>
        </is>
      </c>
      <c r="B53" t="n">
        <v>4.18593</v>
      </c>
      <c r="C53" t="n">
        <v>-1.421711885996046e-07</v>
      </c>
    </row>
    <row r="54">
      <c r="A54" t="inlineStr">
        <is>
          <t>2M</t>
        </is>
      </c>
      <c r="B54" t="n">
        <v>4.12204</v>
      </c>
      <c r="C54" t="n">
        <v>-1.312481572313118e-07</v>
      </c>
    </row>
    <row r="55">
      <c r="A55" t="inlineStr">
        <is>
          <t>3M</t>
        </is>
      </c>
      <c r="B55" t="n">
        <v>4.06637</v>
      </c>
      <c r="C55" t="n">
        <v>-7.800761068210704e-06</v>
      </c>
    </row>
    <row r="56">
      <c r="A56" t="inlineStr">
        <is>
          <t>4M</t>
        </is>
      </c>
      <c r="B56" t="n">
        <v>3.9925</v>
      </c>
      <c r="C56" t="n">
        <v>1.127486052610038e-05</v>
      </c>
    </row>
    <row r="57">
      <c r="A57" t="inlineStr">
        <is>
          <t>5M</t>
        </is>
      </c>
      <c r="B57" t="n">
        <v>3.93355</v>
      </c>
      <c r="C57" t="n">
        <v>7.844067795303999e-07</v>
      </c>
    </row>
    <row r="58">
      <c r="A58" t="inlineStr">
        <is>
          <t>6M</t>
        </is>
      </c>
      <c r="B58" t="n">
        <v>3.8882</v>
      </c>
      <c r="C58" t="n">
        <v>-1.641087771986349e-05</v>
      </c>
    </row>
    <row r="59">
      <c r="A59" t="inlineStr">
        <is>
          <t>7M</t>
        </is>
      </c>
      <c r="B59" t="n">
        <v>3.83797</v>
      </c>
      <c r="C59" t="n">
        <v>1.995619163608353e-05</v>
      </c>
    </row>
    <row r="60">
      <c r="A60" t="inlineStr">
        <is>
          <t>8M</t>
        </is>
      </c>
      <c r="B60" t="n">
        <v>3.79665</v>
      </c>
      <c r="C60" t="n">
        <v>2.728484105318785e-12</v>
      </c>
    </row>
    <row r="61">
      <c r="A61" t="inlineStr">
        <is>
          <t>9M</t>
        </is>
      </c>
      <c r="B61" t="n">
        <v>3.7582</v>
      </c>
      <c r="C61" t="n">
        <v>-2.279788736814226e-05</v>
      </c>
    </row>
    <row r="62">
      <c r="A62" t="inlineStr">
        <is>
          <t>10M</t>
        </is>
      </c>
      <c r="B62" t="n">
        <v>3.71525</v>
      </c>
      <c r="C62" t="n">
        <v>3.069631850394217e-05</v>
      </c>
    </row>
    <row r="63">
      <c r="A63" t="inlineStr">
        <is>
          <t>11M</t>
        </is>
      </c>
      <c r="B63" t="n">
        <v>3.675</v>
      </c>
      <c r="C63" t="n">
        <v>-3.637978807091713e-12</v>
      </c>
    </row>
    <row r="64">
      <c r="A64" t="inlineStr">
        <is>
          <t>1Y</t>
        </is>
      </c>
      <c r="B64" t="n">
        <v>3.6339</v>
      </c>
      <c r="C64" t="n">
        <v>-1.32101553163011e-05</v>
      </c>
    </row>
    <row r="65">
      <c r="A65" t="inlineStr">
        <is>
          <t>18M</t>
        </is>
      </c>
      <c r="B65" t="n">
        <v>3.4171</v>
      </c>
      <c r="C65" t="n">
        <v>5.528430619961e-06</v>
      </c>
    </row>
    <row r="66">
      <c r="A66" t="inlineStr">
        <is>
          <t>2Y</t>
        </is>
      </c>
      <c r="B66" t="n">
        <v>3.302</v>
      </c>
      <c r="C66" t="n">
        <v>-1.10878727355157e-06</v>
      </c>
    </row>
    <row r="67">
      <c r="A67" t="inlineStr">
        <is>
          <t>3Y</t>
        </is>
      </c>
      <c r="B67" t="n">
        <v>3.21275</v>
      </c>
      <c r="C67" t="n">
        <v>-8.642861303087557e-06</v>
      </c>
    </row>
    <row r="68">
      <c r="A68" t="inlineStr">
        <is>
          <t>4Y</t>
        </is>
      </c>
      <c r="B68" t="n">
        <v>3.2039</v>
      </c>
      <c r="C68" t="n">
        <v>-2.235405088413245e-05</v>
      </c>
    </row>
    <row r="69">
      <c r="A69" t="inlineStr">
        <is>
          <t>5Y</t>
        </is>
      </c>
      <c r="B69" t="n">
        <v>3.22961</v>
      </c>
      <c r="C69" t="n">
        <v>-8.42303754780005e-05</v>
      </c>
    </row>
    <row r="70">
      <c r="A70" t="inlineStr">
        <is>
          <t>6Y</t>
        </is>
      </c>
      <c r="B70" t="n">
        <v>3.27845</v>
      </c>
      <c r="C70" t="n">
        <v>4.511472423018859e-05</v>
      </c>
    </row>
    <row r="71">
      <c r="A71" t="inlineStr">
        <is>
          <t>7Y</t>
        </is>
      </c>
      <c r="B71" t="n">
        <v>3.33661</v>
      </c>
      <c r="C71" t="n">
        <v>0.0001076308882375088</v>
      </c>
    </row>
    <row r="72">
      <c r="A72" t="inlineStr">
        <is>
          <t>8Y</t>
        </is>
      </c>
      <c r="B72" t="n">
        <v>3.39917</v>
      </c>
      <c r="C72" t="n">
        <v>3.118713652838778e-05</v>
      </c>
    </row>
    <row r="73">
      <c r="A73" t="inlineStr">
        <is>
          <t>9Y</t>
        </is>
      </c>
      <c r="B73" t="n">
        <v>3.46173</v>
      </c>
      <c r="C73" t="n">
        <v>3.728473507180752e-05</v>
      </c>
    </row>
    <row r="74">
      <c r="A74" t="inlineStr">
        <is>
          <t>10Y</t>
        </is>
      </c>
      <c r="B74" t="n">
        <v>3.5227</v>
      </c>
      <c r="C74" t="n">
        <v>7.696291993397608e-05</v>
      </c>
    </row>
    <row r="75">
      <c r="A75" t="inlineStr">
        <is>
          <t>12Y</t>
        </is>
      </c>
      <c r="B75" t="n">
        <v>3.6365</v>
      </c>
      <c r="C75" t="n">
        <v>7.248647420965426e-06</v>
      </c>
    </row>
    <row r="76">
      <c r="A76" t="inlineStr">
        <is>
          <t>15Y</t>
        </is>
      </c>
      <c r="B76" t="n">
        <v>3.7682</v>
      </c>
      <c r="C76" t="n">
        <v>7.179266958701191e-08</v>
      </c>
    </row>
    <row r="77">
      <c r="A77" t="inlineStr">
        <is>
          <t>20Y</t>
        </is>
      </c>
      <c r="B77" t="n">
        <v>3.8815</v>
      </c>
      <c r="C77" t="n">
        <v>8.992628863779828e-11</v>
      </c>
    </row>
    <row r="78">
      <c r="A78" t="inlineStr">
        <is>
          <t>25Y</t>
        </is>
      </c>
      <c r="B78" t="n">
        <v>3.8985</v>
      </c>
      <c r="C78" t="n">
        <v>-3.410605131648481e-13</v>
      </c>
    </row>
    <row r="79">
      <c r="A79" t="inlineStr">
        <is>
          <t>30Y</t>
        </is>
      </c>
      <c r="B79" t="n">
        <v>3.87225</v>
      </c>
      <c r="C79" t="n">
        <v>4.433786671143025e-12</v>
      </c>
    </row>
    <row r="80">
      <c r="A80" t="inlineStr">
        <is>
          <t>40Y</t>
        </is>
      </c>
      <c r="B80" t="n">
        <v>3.77065</v>
      </c>
      <c r="C80" t="n">
        <v>0</v>
      </c>
    </row>
    <row r="81">
      <c r="A81" t="inlineStr">
        <is>
          <t>50Y</t>
        </is>
      </c>
      <c r="B81" t="n">
        <v>3.65801</v>
      </c>
      <c r="C81" t="n">
        <v>0</v>
      </c>
    </row>
    <row r="83">
      <c r="A83" t="inlineStr">
        <is>
          <t>USDTHB_CCS Curve</t>
        </is>
      </c>
    </row>
    <row r="84">
      <c r="A84" t="inlineStr">
        <is>
          <t>Tenor</t>
        </is>
      </c>
      <c r="B84" t="inlineStr">
        <is>
          <t>Rate (%)</t>
        </is>
      </c>
      <c r="C84" t="inlineStr">
        <is>
          <t>DV01</t>
        </is>
      </c>
    </row>
    <row r="85">
      <c r="A85" t="inlineStr">
        <is>
          <t>1M</t>
        </is>
      </c>
      <c r="B85" t="n">
        <v>-10.0433</v>
      </c>
      <c r="C85" t="n">
        <v>-8.592932886131166e-06</v>
      </c>
    </row>
    <row r="86">
      <c r="A86" t="inlineStr">
        <is>
          <t>2M</t>
        </is>
      </c>
      <c r="B86" t="n">
        <v>-7.15059</v>
      </c>
      <c r="C86" t="n">
        <v>-2.709675754886121e-07</v>
      </c>
    </row>
    <row r="87">
      <c r="A87" t="inlineStr">
        <is>
          <t>3M</t>
        </is>
      </c>
      <c r="B87" t="n">
        <v>-6.31578</v>
      </c>
      <c r="C87" t="n">
        <v>-9.998872201322229e-07</v>
      </c>
    </row>
    <row r="88">
      <c r="A88" t="inlineStr">
        <is>
          <t>6M</t>
        </is>
      </c>
      <c r="B88" t="n">
        <v>-11.89245</v>
      </c>
      <c r="C88" t="n">
        <v>-2.00058915424961e-05</v>
      </c>
    </row>
    <row r="89">
      <c r="A89" t="inlineStr">
        <is>
          <t>9M</t>
        </is>
      </c>
      <c r="B89" t="n">
        <v>-11.31024</v>
      </c>
      <c r="C89" t="n">
        <v>-4.054921043916693e-05</v>
      </c>
    </row>
    <row r="90">
      <c r="A90" t="inlineStr">
        <is>
          <t>12M</t>
        </is>
      </c>
      <c r="B90" t="n">
        <v>-9.93994</v>
      </c>
      <c r="C90" t="n">
        <v>-0.0001708399744302369</v>
      </c>
    </row>
    <row r="91">
      <c r="A91" t="inlineStr">
        <is>
          <t>2Y</t>
        </is>
      </c>
      <c r="B91" t="n">
        <v>-3</v>
      </c>
      <c r="C91" t="n">
        <v>-0.0004175778358330717</v>
      </c>
    </row>
    <row r="92">
      <c r="A92" t="inlineStr">
        <is>
          <t>3Y</t>
        </is>
      </c>
      <c r="B92" t="n">
        <v>-3</v>
      </c>
      <c r="C92" t="n">
        <v>-0.0005077205374846017</v>
      </c>
    </row>
    <row r="93">
      <c r="A93" t="inlineStr">
        <is>
          <t>4Y</t>
        </is>
      </c>
      <c r="B93" t="n">
        <v>-4.5</v>
      </c>
      <c r="C93" t="n">
        <v>-0.0005685205161398699</v>
      </c>
    </row>
    <row r="94">
      <c r="A94" t="inlineStr">
        <is>
          <t>5Y</t>
        </is>
      </c>
      <c r="B94" t="n">
        <v>-6</v>
      </c>
      <c r="C94" t="n">
        <v>-0.0007277377477521441</v>
      </c>
    </row>
    <row r="95">
      <c r="A95" t="inlineStr">
        <is>
          <t>7Y</t>
        </is>
      </c>
      <c r="B95" t="n">
        <v>-13.5</v>
      </c>
      <c r="C95" t="n">
        <v>-1.985076698929333e-05</v>
      </c>
    </row>
    <row r="96">
      <c r="A96" t="inlineStr">
        <is>
          <t>10Y</t>
        </is>
      </c>
      <c r="B96" t="n">
        <v>-17.5</v>
      </c>
      <c r="C96" t="n">
        <v>-0.2866568965758916</v>
      </c>
    </row>
    <row r="97">
      <c r="A97" t="inlineStr">
        <is>
          <t>12Y</t>
        </is>
      </c>
      <c r="B97" t="n">
        <v>-18.5</v>
      </c>
      <c r="C97" t="n">
        <v>-0.01236187821018575</v>
      </c>
    </row>
    <row r="98">
      <c r="A98" t="inlineStr">
        <is>
          <t>15Y</t>
        </is>
      </c>
      <c r="B98" t="n">
        <v>-19</v>
      </c>
      <c r="C98" t="n">
        <v>1.310125981035526e-07</v>
      </c>
    </row>
    <row r="99">
      <c r="A99" t="inlineStr">
        <is>
          <t>20Y</t>
        </is>
      </c>
      <c r="B99" t="n">
        <v>-20</v>
      </c>
      <c r="C99" t="n">
        <v>-2.557953848736361e-11</v>
      </c>
    </row>
    <row r="101">
      <c r="A101" t="inlineStr">
        <is>
          <t>USDJPY_CCS Curve</t>
        </is>
      </c>
    </row>
    <row r="102">
      <c r="A102" t="inlineStr">
        <is>
          <t>Tenor</t>
        </is>
      </c>
      <c r="B102" t="inlineStr">
        <is>
          <t>Rate (%)</t>
        </is>
      </c>
      <c r="C102" t="inlineStr">
        <is>
          <t>DV01</t>
        </is>
      </c>
    </row>
    <row r="103">
      <c r="A103" t="inlineStr">
        <is>
          <t>1W</t>
        </is>
      </c>
      <c r="B103" t="n">
        <v>-7.55348</v>
      </c>
      <c r="C103" t="n">
        <v>6.967717354200431e-06</v>
      </c>
    </row>
    <row r="104">
      <c r="A104" t="inlineStr">
        <is>
          <t>1M</t>
        </is>
      </c>
      <c r="B104" t="n">
        <v>-18.61277</v>
      </c>
      <c r="C104" t="n">
        <v>1.140806944022188e-06</v>
      </c>
    </row>
    <row r="105">
      <c r="A105" t="inlineStr">
        <is>
          <t>2M</t>
        </is>
      </c>
      <c r="B105" t="n">
        <v>-19.28523</v>
      </c>
      <c r="C105" t="n">
        <v>8.676965990161989e-08</v>
      </c>
    </row>
    <row r="106">
      <c r="A106" t="inlineStr">
        <is>
          <t>3M</t>
        </is>
      </c>
      <c r="B106" t="n">
        <v>-19.74413</v>
      </c>
      <c r="C106" t="n">
        <v>-2.150474074369413e-06</v>
      </c>
    </row>
    <row r="107">
      <c r="A107" t="inlineStr">
        <is>
          <t>4M</t>
        </is>
      </c>
      <c r="B107" t="n">
        <v>-30.21901</v>
      </c>
      <c r="C107" t="n">
        <v>1.350628531326947e-05</v>
      </c>
    </row>
    <row r="108">
      <c r="A108" t="inlineStr">
        <is>
          <t>5M</t>
        </is>
      </c>
      <c r="B108" t="n">
        <v>-28.53503</v>
      </c>
      <c r="C108" t="n">
        <v>9.893217338685645e-07</v>
      </c>
    </row>
    <row r="109">
      <c r="A109" t="inlineStr">
        <is>
          <t>6M</t>
        </is>
      </c>
      <c r="B109" t="n">
        <v>-28.16481</v>
      </c>
      <c r="C109" t="n">
        <v>9.764669130163384e-06</v>
      </c>
    </row>
    <row r="110">
      <c r="A110" t="inlineStr">
        <is>
          <t>9M</t>
        </is>
      </c>
      <c r="B110" t="n">
        <v>-27.63126</v>
      </c>
      <c r="C110" t="n">
        <v>2.304745885339798e-05</v>
      </c>
    </row>
    <row r="111">
      <c r="A111" t="inlineStr">
        <is>
          <t>12M</t>
        </is>
      </c>
      <c r="B111" t="n">
        <v>-28.16393</v>
      </c>
      <c r="C111" t="n">
        <v>4.737713015856571e-05</v>
      </c>
    </row>
    <row r="112">
      <c r="A112" t="inlineStr">
        <is>
          <t>18M</t>
        </is>
      </c>
      <c r="B112" t="n">
        <v>-32.125</v>
      </c>
      <c r="C112" t="n">
        <v>8.981825612863759e-05</v>
      </c>
    </row>
    <row r="113">
      <c r="A113" t="inlineStr">
        <is>
          <t>2Y</t>
        </is>
      </c>
      <c r="B113" t="n">
        <v>-33.188</v>
      </c>
      <c r="C113" t="n">
        <v>0.0001928347144257714</v>
      </c>
    </row>
    <row r="114">
      <c r="A114" t="inlineStr">
        <is>
          <t>3Y</t>
        </is>
      </c>
      <c r="B114" t="n">
        <v>-36</v>
      </c>
      <c r="C114" t="n">
        <v>0.0003482692814031907</v>
      </c>
    </row>
    <row r="115">
      <c r="A115" t="inlineStr">
        <is>
          <t>4Y</t>
        </is>
      </c>
      <c r="B115" t="n">
        <v>-38.625</v>
      </c>
      <c r="C115" t="n">
        <v>0.0004750579987558012</v>
      </c>
    </row>
    <row r="116">
      <c r="A116" t="inlineStr">
        <is>
          <t>5Y</t>
        </is>
      </c>
      <c r="B116" t="n">
        <v>-39.625</v>
      </c>
      <c r="C116" t="n">
        <v>0.0006056341039766266</v>
      </c>
    </row>
    <row r="117">
      <c r="A117" t="inlineStr">
        <is>
          <t>6Y</t>
        </is>
      </c>
      <c r="B117" t="n">
        <v>-40.438</v>
      </c>
      <c r="C117" t="n">
        <v>0.0007120384652807843</v>
      </c>
    </row>
    <row r="118">
      <c r="A118" t="inlineStr">
        <is>
          <t>7Y</t>
        </is>
      </c>
      <c r="B118" t="n">
        <v>-40.562</v>
      </c>
      <c r="C118" t="n">
        <v>0.0008129912569074804</v>
      </c>
    </row>
    <row r="119">
      <c r="A119" t="inlineStr">
        <is>
          <t>8Y</t>
        </is>
      </c>
      <c r="B119" t="n">
        <v>-40.5</v>
      </c>
      <c r="C119" t="n">
        <v>0.0009370949817366636</v>
      </c>
    </row>
    <row r="120">
      <c r="A120" t="inlineStr">
        <is>
          <t>9Y</t>
        </is>
      </c>
      <c r="B120" t="n">
        <v>-40.375</v>
      </c>
      <c r="C120" t="n">
        <v>0.001038531883978067</v>
      </c>
    </row>
    <row r="121">
      <c r="A121" t="inlineStr">
        <is>
          <t>10Y</t>
        </is>
      </c>
      <c r="B121" t="n">
        <v>-40.25</v>
      </c>
      <c r="C121" t="n">
        <v>0.2935554208677331</v>
      </c>
    </row>
    <row r="122">
      <c r="A122" t="inlineStr">
        <is>
          <t>12Y</t>
        </is>
      </c>
      <c r="B122" t="n">
        <v>-39.75</v>
      </c>
      <c r="C122" t="n">
        <v>0.01262186767417006</v>
      </c>
    </row>
    <row r="123">
      <c r="A123" t="inlineStr">
        <is>
          <t>15Y</t>
        </is>
      </c>
      <c r="B123" t="n">
        <v>-38.5</v>
      </c>
      <c r="C123" t="n">
        <v>-1.272080680791987e-07</v>
      </c>
    </row>
    <row r="124">
      <c r="A124" t="inlineStr">
        <is>
          <t>20Y</t>
        </is>
      </c>
      <c r="B124" t="n">
        <v>-35.75</v>
      </c>
      <c r="C124" t="n">
        <v>6.366462912410498e-12</v>
      </c>
    </row>
    <row r="125">
      <c r="A125" t="inlineStr">
        <is>
          <t>30Y</t>
        </is>
      </c>
      <c r="B125" t="n">
        <v>-31</v>
      </c>
      <c r="C125" t="n">
        <v>0</v>
      </c>
    </row>
    <row r="126">
      <c r="A126" t="inlineStr">
        <is>
          <t>40Y</t>
        </is>
      </c>
      <c r="B126" t="n">
        <v>-26.25</v>
      </c>
      <c r="C126" t="n">
        <v>6.366462912410498e-12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26"/>
  <sheetViews>
    <sheetView workbookViewId="0">
      <selection activeCell="A1" sqref="A1"/>
    </sheetView>
  </sheetViews>
  <sheetFormatPr baseColWidth="8" defaultRowHeight="14.25"/>
  <cols>
    <col width="15.140625" bestFit="1" customWidth="1" style="13" min="1" max="1"/>
    <col width="10.42578125" bestFit="1" customWidth="1" style="13" min="2" max="2"/>
    <col width="11.5703125" bestFit="1" customWidth="1" style="13" min="3" max="3"/>
    <col width="7" bestFit="1" customWidth="1" style="13" min="4" max="4"/>
    <col width="8.5703125" bestFit="1" customWidth="1" style="13" min="5" max="5"/>
    <col width="9.5703125" bestFit="1" customWidth="1" style="13" min="6" max="6"/>
    <col width="14.28515625" bestFit="1" customWidth="1" style="13" min="7" max="7"/>
    <col width="7.85546875" bestFit="1" customWidth="1" style="13" min="8" max="8"/>
    <col width="6.7109375" bestFit="1" customWidth="1" style="13" min="9" max="9"/>
    <col width="9.140625" customWidth="1" style="13" min="10" max="10"/>
    <col width="7.85546875" bestFit="1" customWidth="1" style="13" min="11" max="11"/>
    <col width="8.42578125" bestFit="1" customWidth="1" style="13" min="12" max="12"/>
    <col width="6.140625" bestFit="1" customWidth="1" style="13" min="13" max="13"/>
    <col width="7.42578125" bestFit="1" customWidth="1" style="13" min="14" max="14"/>
    <col width="8.85546875" bestFit="1" customWidth="1" style="13" min="15" max="15"/>
    <col width="8.5703125" bestFit="1" customWidth="1" style="13" min="16" max="16"/>
    <col width="14.28515625" bestFit="1" customWidth="1" style="13" min="17" max="17"/>
    <col width="7.85546875" customWidth="1" style="13" min="18" max="18"/>
    <col width="6.7109375" bestFit="1" customWidth="1" style="13" min="19" max="19"/>
    <col width="9.140625" customWidth="1" style="13" min="20" max="20"/>
    <col width="9" customWidth="1" style="13" min="21" max="21"/>
    <col width="11.28515625" customWidth="1" style="13" min="22" max="23"/>
    <col width="7.42578125" bestFit="1" customWidth="1" style="13" min="24" max="24"/>
    <col width="8.85546875" bestFit="1" customWidth="1" style="13" min="25" max="26"/>
    <col width="7.140625" bestFit="1" customWidth="1" style="13" min="27" max="27"/>
    <col width="9.28515625" bestFit="1" customWidth="1" style="13" min="28" max="28"/>
    <col width="11.7109375" bestFit="1" customWidth="1" style="13" min="29" max="29"/>
    <col width="12.5703125" bestFit="1" customWidth="1" style="13" min="30" max="30"/>
    <col width="20.28515625" bestFit="1" customWidth="1" style="13" min="31" max="31"/>
    <col width="9.140625" customWidth="1" style="13" min="32" max="33"/>
    <col width="26.7109375" bestFit="1" customWidth="1" style="13" min="34" max="34"/>
    <col width="9.140625" customWidth="1" style="13" min="35" max="37"/>
    <col width="13.140625" bestFit="1" customWidth="1" style="41" min="38" max="38"/>
    <col width="9.140625" customWidth="1" style="13" min="39" max="47"/>
    <col width="9.140625" customWidth="1" style="13" min="48" max="16384"/>
  </cols>
  <sheetData>
    <row r="1" ht="45" customHeight="1" s="22">
      <c r="A1" s="36" t="inlineStr">
        <is>
          <t>Booking
ID</t>
        </is>
      </c>
      <c r="B1" s="26" t="inlineStr">
        <is>
          <t>Effective
 Date</t>
        </is>
      </c>
      <c r="C1" s="26" t="inlineStr">
        <is>
          <t>Maturity
 Date</t>
        </is>
      </c>
      <c r="D1" s="36" t="inlineStr">
        <is>
          <t>S/B or 
B/S</t>
        </is>
      </c>
      <c r="E1" s="36" t="inlineStr">
        <is>
          <t>PL Currency</t>
        </is>
      </c>
      <c r="F1" s="24" t="inlineStr">
        <is>
          <t>Leg 1
 Currency</t>
        </is>
      </c>
      <c r="G1" s="24" t="inlineStr">
        <is>
          <t>Leg 1
Notional</t>
        </is>
      </c>
      <c r="H1" s="24" t="inlineStr">
        <is>
          <t>Leg 1
Fixed / Float</t>
        </is>
      </c>
      <c r="I1" s="24" t="inlineStr">
        <is>
          <t>Leg 1
Index</t>
        </is>
      </c>
      <c r="J1" s="24" t="inlineStr">
        <is>
          <t>Leg 1
Rate (%)</t>
        </is>
      </c>
      <c r="K1" s="24" t="inlineStr">
        <is>
          <t>Leg 1
Spread (bp)</t>
        </is>
      </c>
      <c r="L1" s="24" t="inlineStr">
        <is>
          <t>Leg 1
DayCount</t>
        </is>
      </c>
      <c r="M1" s="24" t="inlineStr">
        <is>
          <t>Leg 1
Pay Freq</t>
        </is>
      </c>
      <c r="N1" s="24" t="inlineStr">
        <is>
          <t>Leg 1
Restet Freq</t>
        </is>
      </c>
      <c r="O1" s="24" t="inlineStr">
        <is>
          <t>Leg 1
Calendar</t>
        </is>
      </c>
      <c r="P1" s="25" t="inlineStr">
        <is>
          <t>Leg 2
Currency</t>
        </is>
      </c>
      <c r="Q1" s="25" t="inlineStr">
        <is>
          <t>Leg 2
Notional</t>
        </is>
      </c>
      <c r="R1" s="25" t="inlineStr">
        <is>
          <t>Leg 2
Fixed / Float</t>
        </is>
      </c>
      <c r="S1" s="25" t="inlineStr">
        <is>
          <t>Leg 2
Index</t>
        </is>
      </c>
      <c r="T1" s="25" t="inlineStr">
        <is>
          <t>Leg 2
Rate (%)</t>
        </is>
      </c>
      <c r="U1" s="25" t="inlineStr">
        <is>
          <t>Leg 2
Spread (bp)</t>
        </is>
      </c>
      <c r="V1" s="25" t="inlineStr">
        <is>
          <t>Leg 2
DayCount</t>
        </is>
      </c>
      <c r="W1" s="25" t="inlineStr">
        <is>
          <t>Leg 2
Frequency</t>
        </is>
      </c>
      <c r="X1" s="25" t="inlineStr">
        <is>
          <t>Leg 2
Restet Freq</t>
        </is>
      </c>
      <c r="Y1" s="25" t="inlineStr">
        <is>
          <t>Leg 2
Calendar</t>
        </is>
      </c>
      <c r="Z1" s="27" t="inlineStr">
        <is>
          <t>Payment
Lag</t>
        </is>
      </c>
      <c r="AA1" s="27" t="inlineStr">
        <is>
          <t>Trade Status</t>
        </is>
      </c>
      <c r="AB1" s="28" t="inlineStr">
        <is>
          <t>Net NPV</t>
        </is>
      </c>
      <c r="AC1" s="28" t="inlineStr">
        <is>
          <t>Leg_1_NPV</t>
        </is>
      </c>
      <c r="AD1" s="28" t="inlineStr">
        <is>
          <t>Leg_2_NPV</t>
        </is>
      </c>
      <c r="AE1" s="28" t="inlineStr">
        <is>
          <t>Break_Even_Spread</t>
        </is>
      </c>
      <c r="AH1" s="13" t="inlineStr">
        <is>
          <t>SENSITIVITY ANALYSIS</t>
        </is>
      </c>
      <c r="AI1" s="13" t="inlineStr">
        <is>
          <t>Generated: 2025-10-29 10:33:11</t>
        </is>
      </c>
    </row>
    <row r="2" ht="15" customHeight="1" s="22">
      <c r="A2" s="34" t="inlineStr">
        <is>
          <t>CCS-001</t>
        </is>
      </c>
      <c r="B2" s="35" t="n">
        <v>45912</v>
      </c>
      <c r="C2" s="35" t="n">
        <v>49594</v>
      </c>
      <c r="D2" s="34" t="inlineStr">
        <is>
          <t>B/S</t>
        </is>
      </c>
      <c r="E2" s="34" t="inlineStr">
        <is>
          <t>USD</t>
        </is>
      </c>
      <c r="F2" s="34" t="inlineStr">
        <is>
          <t>THB</t>
        </is>
      </c>
      <c r="G2" s="59" t="n">
        <v>1000000</v>
      </c>
      <c r="H2" s="34" t="inlineStr">
        <is>
          <t>Fixed</t>
        </is>
      </c>
      <c r="I2" s="34" t="n"/>
      <c r="J2" s="34" t="n">
        <v>1.5</v>
      </c>
      <c r="K2" s="59" t="n"/>
      <c r="L2" s="34" t="inlineStr">
        <is>
          <t>Act365f</t>
        </is>
      </c>
      <c r="M2" s="34" t="inlineStr">
        <is>
          <t>Q</t>
        </is>
      </c>
      <c r="N2" s="34" t="inlineStr">
        <is>
          <t>Q</t>
        </is>
      </c>
      <c r="O2" s="34" t="inlineStr">
        <is>
          <t>th</t>
        </is>
      </c>
      <c r="P2" s="34" t="inlineStr">
        <is>
          <t>JPY</t>
        </is>
      </c>
      <c r="Q2" s="59" t="n">
        <v>4642485.530926129</v>
      </c>
      <c r="R2" s="34" t="inlineStr">
        <is>
          <t>Float</t>
        </is>
      </c>
      <c r="S2" s="34" t="inlineStr">
        <is>
          <t>TONR</t>
        </is>
      </c>
      <c r="T2" s="34" t="n"/>
      <c r="U2" s="59" t="n"/>
      <c r="V2" s="34" t="inlineStr">
        <is>
          <t>Act365f</t>
        </is>
      </c>
      <c r="W2" s="34" t="inlineStr">
        <is>
          <t>Q</t>
        </is>
      </c>
      <c r="X2" s="34" t="inlineStr">
        <is>
          <t>Q</t>
        </is>
      </c>
      <c r="Y2" s="34" t="inlineStr">
        <is>
          <t>jp</t>
        </is>
      </c>
      <c r="Z2" s="34" t="n">
        <v>2</v>
      </c>
      <c r="AA2" s="34" t="inlineStr">
        <is>
          <t>Live</t>
        </is>
      </c>
      <c r="AB2" s="59" t="n">
        <v>-384.0692794381572</v>
      </c>
      <c r="AC2" s="59" t="n">
        <v>26410.96415011771</v>
      </c>
      <c r="AD2" s="59" t="n">
        <v>-179249.1031824383</v>
      </c>
      <c r="AE2" s="59" t="n">
        <v>-38.55253089804785</v>
      </c>
    </row>
    <row r="3">
      <c r="AH3" s="13" t="inlineStr">
        <is>
          <t>BOOKING ID: CCS-001</t>
        </is>
      </c>
    </row>
    <row r="4">
      <c r="A4" s="13" t="inlineStr">
        <is>
          <t>Delta FX-THB</t>
        </is>
      </c>
      <c r="AH4" s="13" t="inlineStr">
        <is>
          <t>FX DELTA (1% bump)</t>
        </is>
      </c>
      <c r="AL4" s="41" t="inlineStr">
        <is>
          <t>Validation</t>
        </is>
      </c>
    </row>
    <row r="5" ht="45" customHeight="1" s="22">
      <c r="A5" s="36" t="inlineStr">
        <is>
          <t>Booking
ID</t>
        </is>
      </c>
      <c r="B5" s="26" t="inlineStr">
        <is>
          <t>Effective
 Date</t>
        </is>
      </c>
      <c r="C5" s="26" t="inlineStr">
        <is>
          <t>Maturity
 Date</t>
        </is>
      </c>
      <c r="D5" s="36" t="inlineStr">
        <is>
          <t>S/B or 
B/S</t>
        </is>
      </c>
      <c r="E5" s="36" t="inlineStr">
        <is>
          <t>PL Currency</t>
        </is>
      </c>
      <c r="F5" s="24" t="inlineStr">
        <is>
          <t>Leg 1
 Currency</t>
        </is>
      </c>
      <c r="G5" s="24" t="inlineStr">
        <is>
          <t>Leg 1
Notional</t>
        </is>
      </c>
      <c r="H5" s="24" t="inlineStr">
        <is>
          <t>Leg 1
Fixed / Float</t>
        </is>
      </c>
      <c r="I5" s="24" t="inlineStr">
        <is>
          <t>Leg 1
Index</t>
        </is>
      </c>
      <c r="J5" s="24" t="inlineStr">
        <is>
          <t>Leg 1
Rate (%)</t>
        </is>
      </c>
      <c r="K5" s="24" t="inlineStr">
        <is>
          <t>Leg 1
Spread (bp)</t>
        </is>
      </c>
      <c r="L5" s="24" t="inlineStr">
        <is>
          <t>Leg 1
DayCount</t>
        </is>
      </c>
      <c r="M5" s="24" t="inlineStr">
        <is>
          <t>Leg 1
Pay Freq</t>
        </is>
      </c>
      <c r="N5" s="24" t="inlineStr">
        <is>
          <t>Leg 1
Restet Freq</t>
        </is>
      </c>
      <c r="O5" s="24" t="inlineStr">
        <is>
          <t>Leg 1
Calendar</t>
        </is>
      </c>
      <c r="P5" s="25" t="inlineStr">
        <is>
          <t>Leg 2
Currency</t>
        </is>
      </c>
      <c r="Q5" s="25" t="inlineStr">
        <is>
          <t>Leg 2
Notional</t>
        </is>
      </c>
      <c r="R5" s="25" t="inlineStr">
        <is>
          <t>Leg 2
Fixed / Float</t>
        </is>
      </c>
      <c r="S5" s="25" t="inlineStr">
        <is>
          <t>Leg 2
Index</t>
        </is>
      </c>
      <c r="T5" s="25" t="inlineStr">
        <is>
          <t>Leg 2
Rate (%)</t>
        </is>
      </c>
      <c r="U5" s="25" t="inlineStr">
        <is>
          <t>Leg 2
Spread (bp)</t>
        </is>
      </c>
      <c r="V5" s="25" t="inlineStr">
        <is>
          <t>Leg 2
DayCount</t>
        </is>
      </c>
      <c r="W5" s="25" t="inlineStr">
        <is>
          <t>Leg 2
Frequency</t>
        </is>
      </c>
      <c r="X5" s="25" t="inlineStr">
        <is>
          <t>Leg 2
Restet Freq</t>
        </is>
      </c>
      <c r="Y5" s="25" t="inlineStr">
        <is>
          <t>Leg 2
Calendar</t>
        </is>
      </c>
      <c r="Z5" s="27" t="inlineStr">
        <is>
          <t>Payment
Lag</t>
        </is>
      </c>
      <c r="AA5" s="27" t="inlineStr">
        <is>
          <t>Trade Status</t>
        </is>
      </c>
      <c r="AB5" s="28" t="inlineStr">
        <is>
          <t>Net NPV</t>
        </is>
      </c>
      <c r="AC5" s="28" t="inlineStr">
        <is>
          <t>Leg_1_NPV</t>
        </is>
      </c>
      <c r="AD5" s="28" t="inlineStr">
        <is>
          <t>Leg_2_NPV</t>
        </is>
      </c>
      <c r="AE5" s="28" t="inlineStr">
        <is>
          <t>Break_Even_Spread</t>
        </is>
      </c>
      <c r="AH5" s="13" t="inlineStr">
        <is>
          <t>Currency Pair</t>
        </is>
      </c>
      <c r="AI5" s="13" t="inlineStr">
        <is>
          <t>FX Delta</t>
        </is>
      </c>
    </row>
    <row r="6" ht="15" customHeight="1" s="22">
      <c r="A6" s="34" t="inlineStr">
        <is>
          <t>CCS-001</t>
        </is>
      </c>
      <c r="B6" s="35" t="n">
        <v>45912</v>
      </c>
      <c r="C6" s="35" t="n">
        <v>49594</v>
      </c>
      <c r="D6" s="34" t="inlineStr">
        <is>
          <t>B/S</t>
        </is>
      </c>
      <c r="E6" s="34" t="inlineStr">
        <is>
          <t>USD</t>
        </is>
      </c>
      <c r="F6" s="34" t="inlineStr">
        <is>
          <t>THB</t>
        </is>
      </c>
      <c r="G6" s="59" t="n">
        <v>1000000</v>
      </c>
      <c r="H6" s="34" t="inlineStr">
        <is>
          <t>Fixed</t>
        </is>
      </c>
      <c r="I6" s="34" t="n"/>
      <c r="J6" s="34" t="n">
        <v>1.5</v>
      </c>
      <c r="K6" s="59" t="n"/>
      <c r="L6" s="34" t="inlineStr">
        <is>
          <t>Act365f</t>
        </is>
      </c>
      <c r="M6" s="34" t="inlineStr">
        <is>
          <t>Q</t>
        </is>
      </c>
      <c r="N6" s="34" t="inlineStr">
        <is>
          <t>Q</t>
        </is>
      </c>
      <c r="O6" s="34" t="inlineStr">
        <is>
          <t>th</t>
        </is>
      </c>
      <c r="P6" s="34" t="inlineStr">
        <is>
          <t>JPY</t>
        </is>
      </c>
      <c r="Q6" s="59" t="n">
        <v>4596520.327649632</v>
      </c>
      <c r="R6" s="34" t="inlineStr">
        <is>
          <t>Float</t>
        </is>
      </c>
      <c r="S6" s="34" t="inlineStr">
        <is>
          <t>TONR</t>
        </is>
      </c>
      <c r="T6" s="34" t="n"/>
      <c r="U6" s="59" t="n"/>
      <c r="V6" s="34" t="inlineStr">
        <is>
          <t>Act365f</t>
        </is>
      </c>
      <c r="W6" s="34" t="inlineStr">
        <is>
          <t>Q</t>
        </is>
      </c>
      <c r="X6" s="34" t="inlineStr">
        <is>
          <t>Q</t>
        </is>
      </c>
      <c r="Y6" s="34" t="inlineStr">
        <is>
          <t>jp</t>
        </is>
      </c>
      <c r="Z6" s="34" t="n">
        <v>2</v>
      </c>
      <c r="AA6" s="34" t="inlineStr">
        <is>
          <t>Live</t>
        </is>
      </c>
      <c r="AB6" s="59" t="n">
        <v>-380.2666133050977</v>
      </c>
      <c r="AC6" s="59" t="n">
        <v>26410.96415011771</v>
      </c>
      <c r="AD6" s="59" t="n">
        <v>-177474.3595865713</v>
      </c>
      <c r="AE6" s="59" t="n">
        <v>-38.52713083373979</v>
      </c>
      <c r="AH6" s="13" t="inlineStr">
        <is>
          <t>USDTHB</t>
        </is>
      </c>
      <c r="AI6" s="13" t="n">
        <v>380.2666133059461</v>
      </c>
      <c r="AL6" s="41">
        <f>(AB6-AB2)/0.01</f>
        <v/>
      </c>
    </row>
    <row r="7">
      <c r="AH7" s="13" t="inlineStr">
        <is>
          <t>USDJPY</t>
        </is>
      </c>
      <c r="AI7" s="13" t="n">
        <v>4.774847184307873e-10</v>
      </c>
      <c r="AL7" s="41">
        <f>(AB10-AB2)/0.01</f>
        <v/>
      </c>
    </row>
    <row r="8">
      <c r="A8" s="13" t="inlineStr">
        <is>
          <t>Delta FX-JPY</t>
        </is>
      </c>
    </row>
    <row r="9" ht="45" customHeight="1" s="22">
      <c r="A9" s="36" t="inlineStr">
        <is>
          <t>Booking
ID</t>
        </is>
      </c>
      <c r="B9" s="26" t="inlineStr">
        <is>
          <t>Effective
 Date</t>
        </is>
      </c>
      <c r="C9" s="26" t="inlineStr">
        <is>
          <t>Maturity
 Date</t>
        </is>
      </c>
      <c r="D9" s="36" t="inlineStr">
        <is>
          <t>S/B or 
B/S</t>
        </is>
      </c>
      <c r="E9" s="36" t="inlineStr">
        <is>
          <t>PL Currency</t>
        </is>
      </c>
      <c r="F9" s="24" t="inlineStr">
        <is>
          <t>Leg 1
 Currency</t>
        </is>
      </c>
      <c r="G9" s="24" t="inlineStr">
        <is>
          <t>Leg 1
Notional</t>
        </is>
      </c>
      <c r="H9" s="24" t="inlineStr">
        <is>
          <t>Leg 1
Fixed / Float</t>
        </is>
      </c>
      <c r="I9" s="24" t="inlineStr">
        <is>
          <t>Leg 1
Index</t>
        </is>
      </c>
      <c r="J9" s="24" t="inlineStr">
        <is>
          <t>Leg 1
Rate (%)</t>
        </is>
      </c>
      <c r="K9" s="24" t="inlineStr">
        <is>
          <t>Leg 1
Spread (bp)</t>
        </is>
      </c>
      <c r="L9" s="24" t="inlineStr">
        <is>
          <t>Leg 1
DayCount</t>
        </is>
      </c>
      <c r="M9" s="24" t="inlineStr">
        <is>
          <t>Leg 1
Pay Freq</t>
        </is>
      </c>
      <c r="N9" s="24" t="inlineStr">
        <is>
          <t>Leg 1
Restet Freq</t>
        </is>
      </c>
      <c r="O9" s="24" t="inlineStr">
        <is>
          <t>Leg 1
Calendar</t>
        </is>
      </c>
      <c r="P9" s="25" t="inlineStr">
        <is>
          <t>Leg 2
Currency</t>
        </is>
      </c>
      <c r="Q9" s="25" t="inlineStr">
        <is>
          <t>Leg 2
Notional</t>
        </is>
      </c>
      <c r="R9" s="25" t="inlineStr">
        <is>
          <t>Leg 2
Fixed / Float</t>
        </is>
      </c>
      <c r="S9" s="25" t="inlineStr">
        <is>
          <t>Leg 2
Index</t>
        </is>
      </c>
      <c r="T9" s="25" t="inlineStr">
        <is>
          <t>Leg 2
Rate (%)</t>
        </is>
      </c>
      <c r="U9" s="25" t="inlineStr">
        <is>
          <t>Leg 2
Spread (bp)</t>
        </is>
      </c>
      <c r="V9" s="25" t="inlineStr">
        <is>
          <t>Leg 2
DayCount</t>
        </is>
      </c>
      <c r="W9" s="25" t="inlineStr">
        <is>
          <t>Leg 2
Frequency</t>
        </is>
      </c>
      <c r="X9" s="25" t="inlineStr">
        <is>
          <t>Leg 2
Restet Freq</t>
        </is>
      </c>
      <c r="Y9" s="25" t="inlineStr">
        <is>
          <t>Leg 2
Calendar</t>
        </is>
      </c>
      <c r="Z9" s="27" t="inlineStr">
        <is>
          <t>Payment
Lag</t>
        </is>
      </c>
      <c r="AA9" s="27" t="inlineStr">
        <is>
          <t>Trade Status</t>
        </is>
      </c>
      <c r="AB9" s="28" t="inlineStr">
        <is>
          <t>Net NPV</t>
        </is>
      </c>
      <c r="AC9" s="28" t="inlineStr">
        <is>
          <t>Leg_1_NPV</t>
        </is>
      </c>
      <c r="AD9" s="28" t="inlineStr">
        <is>
          <t>Leg_2_NPV</t>
        </is>
      </c>
      <c r="AE9" s="28" t="inlineStr">
        <is>
          <t>Break_Even_Spread</t>
        </is>
      </c>
      <c r="AH9" s="13" t="inlineStr">
        <is>
          <t>IR DV01 (1 bp bump)</t>
        </is>
      </c>
    </row>
    <row r="10" ht="15" customHeight="1" s="22">
      <c r="A10" s="34" t="inlineStr">
        <is>
          <t>CCS-001</t>
        </is>
      </c>
      <c r="B10" s="35" t="n">
        <v>45912</v>
      </c>
      <c r="C10" s="35" t="n">
        <v>49594</v>
      </c>
      <c r="D10" s="34" t="inlineStr">
        <is>
          <t>B/S</t>
        </is>
      </c>
      <c r="E10" s="34" t="inlineStr">
        <is>
          <t>USD</t>
        </is>
      </c>
      <c r="F10" s="34" t="inlineStr">
        <is>
          <t>THB</t>
        </is>
      </c>
      <c r="G10" s="59" t="n">
        <v>1000000</v>
      </c>
      <c r="H10" s="34" t="inlineStr">
        <is>
          <t>Fixed</t>
        </is>
      </c>
      <c r="I10" s="34" t="n"/>
      <c r="J10" s="34" t="n">
        <v>1.5</v>
      </c>
      <c r="K10" s="59" t="n"/>
      <c r="L10" s="34" t="inlineStr">
        <is>
          <t>Act365f</t>
        </is>
      </c>
      <c r="M10" s="34" t="inlineStr">
        <is>
          <t>Q</t>
        </is>
      </c>
      <c r="N10" s="34" t="inlineStr">
        <is>
          <t>Q</t>
        </is>
      </c>
      <c r="O10" s="34" t="inlineStr">
        <is>
          <t>th</t>
        </is>
      </c>
      <c r="P10" s="34" t="inlineStr">
        <is>
          <t>JPY</t>
        </is>
      </c>
      <c r="Q10" s="59" t="n">
        <v>4688910.386235391</v>
      </c>
      <c r="R10" s="34" t="inlineStr">
        <is>
          <t>Float</t>
        </is>
      </c>
      <c r="S10" s="34" t="inlineStr">
        <is>
          <t>TONR</t>
        </is>
      </c>
      <c r="T10" s="34" t="n"/>
      <c r="U10" s="59" t="n"/>
      <c r="V10" s="34" t="inlineStr">
        <is>
          <t>Act365f</t>
        </is>
      </c>
      <c r="W10" s="34" t="inlineStr">
        <is>
          <t>Q</t>
        </is>
      </c>
      <c r="X10" s="34" t="inlineStr">
        <is>
          <t>Q</t>
        </is>
      </c>
      <c r="Y10" s="34" t="inlineStr">
        <is>
          <t>jp</t>
        </is>
      </c>
      <c r="Z10" s="34" t="n">
        <v>2</v>
      </c>
      <c r="AA10" s="34" t="inlineStr">
        <is>
          <t>Live</t>
        </is>
      </c>
      <c r="AB10" s="59" t="n">
        <v>-384.069279203297</v>
      </c>
      <c r="AC10" s="59" t="n">
        <v>26410.96394199959</v>
      </c>
      <c r="AD10" s="59" t="n">
        <v>-181041.5932034357</v>
      </c>
      <c r="AE10" s="59" t="n">
        <v>-38.57743026996819</v>
      </c>
      <c r="AH10" s="13" t="inlineStr">
        <is>
          <t>JPY_TONR Curve</t>
        </is>
      </c>
    </row>
    <row r="11">
      <c r="AH11" s="13" t="inlineStr">
        <is>
          <t>Tenor</t>
        </is>
      </c>
      <c r="AI11" s="13" t="inlineStr">
        <is>
          <t>Rate (%)</t>
        </is>
      </c>
      <c r="AJ11" s="13" t="inlineStr">
        <is>
          <t>DV01</t>
        </is>
      </c>
    </row>
    <row r="12">
      <c r="A12" s="13" t="inlineStr">
        <is>
          <t>TONR-1W</t>
        </is>
      </c>
      <c r="AH12" s="13" t="inlineStr">
        <is>
          <t>1W</t>
        </is>
      </c>
      <c r="AI12" s="13" t="n">
        <v>0.47873</v>
      </c>
      <c r="AJ12" s="13" t="n">
        <v>-0.04455639855041227</v>
      </c>
      <c r="AL12" s="41">
        <f>AB14-AB2</f>
        <v/>
      </c>
    </row>
    <row r="13" ht="45" customHeight="1" s="22">
      <c r="A13" s="36" t="inlineStr">
        <is>
          <t>Booking
ID</t>
        </is>
      </c>
      <c r="B13" s="26" t="inlineStr">
        <is>
          <t>Effective
 Date</t>
        </is>
      </c>
      <c r="C13" s="26" t="inlineStr">
        <is>
          <t>Maturity
 Date</t>
        </is>
      </c>
      <c r="D13" s="36" t="inlineStr">
        <is>
          <t>S/B or 
B/S</t>
        </is>
      </c>
      <c r="E13" s="36" t="inlineStr">
        <is>
          <t>PL Currency</t>
        </is>
      </c>
      <c r="F13" s="24" t="inlineStr">
        <is>
          <t>Leg 1
 Currency</t>
        </is>
      </c>
      <c r="G13" s="24" t="inlineStr">
        <is>
          <t>Leg 1
Notional</t>
        </is>
      </c>
      <c r="H13" s="24" t="inlineStr">
        <is>
          <t>Leg 1
Fixed / Float</t>
        </is>
      </c>
      <c r="I13" s="24" t="inlineStr">
        <is>
          <t>Leg 1
Index</t>
        </is>
      </c>
      <c r="J13" s="24" t="inlineStr">
        <is>
          <t>Leg 1
Rate (%)</t>
        </is>
      </c>
      <c r="K13" s="24" t="inlineStr">
        <is>
          <t>Leg 1
Spread (bp)</t>
        </is>
      </c>
      <c r="L13" s="24" t="inlineStr">
        <is>
          <t>Leg 1
DayCount</t>
        </is>
      </c>
      <c r="M13" s="24" t="inlineStr">
        <is>
          <t>Leg 1
Pay Freq</t>
        </is>
      </c>
      <c r="N13" s="24" t="inlineStr">
        <is>
          <t>Leg 1
Restet Freq</t>
        </is>
      </c>
      <c r="O13" s="24" t="inlineStr">
        <is>
          <t>Leg 1
Calendar</t>
        </is>
      </c>
      <c r="P13" s="25" t="inlineStr">
        <is>
          <t>Leg 2
Currency</t>
        </is>
      </c>
      <c r="Q13" s="25" t="inlineStr">
        <is>
          <t>Leg 2
Notional</t>
        </is>
      </c>
      <c r="R13" s="25" t="inlineStr">
        <is>
          <t>Leg 2
Fixed / Float</t>
        </is>
      </c>
      <c r="S13" s="25" t="inlineStr">
        <is>
          <t>Leg 2
Index</t>
        </is>
      </c>
      <c r="T13" s="25" t="inlineStr">
        <is>
          <t>Leg 2
Rate (%)</t>
        </is>
      </c>
      <c r="U13" s="25" t="inlineStr">
        <is>
          <t>Leg 2
Spread (bp)</t>
        </is>
      </c>
      <c r="V13" s="25" t="inlineStr">
        <is>
          <t>Leg 2
DayCount</t>
        </is>
      </c>
      <c r="W13" s="25" t="inlineStr">
        <is>
          <t>Leg 2
Frequency</t>
        </is>
      </c>
      <c r="X13" s="25" t="inlineStr">
        <is>
          <t>Leg 2
Restet Freq</t>
        </is>
      </c>
      <c r="Y13" s="25" t="inlineStr">
        <is>
          <t>Leg 2
Calendar</t>
        </is>
      </c>
      <c r="Z13" s="27" t="inlineStr">
        <is>
          <t>Payment
Lag</t>
        </is>
      </c>
      <c r="AA13" s="27" t="inlineStr">
        <is>
          <t>Trade Status</t>
        </is>
      </c>
      <c r="AB13" s="28" t="inlineStr">
        <is>
          <t>Net NPV</t>
        </is>
      </c>
      <c r="AC13" s="28" t="inlineStr">
        <is>
          <t>Leg_1_NPV</t>
        </is>
      </c>
      <c r="AD13" s="28" t="inlineStr">
        <is>
          <t>Leg_2_NPV</t>
        </is>
      </c>
      <c r="AE13" s="28" t="inlineStr">
        <is>
          <t>Break_Even_Spread</t>
        </is>
      </c>
      <c r="AH13" s="13" t="inlineStr">
        <is>
          <t>2W</t>
        </is>
      </c>
      <c r="AI13" s="13" t="n">
        <v>0.47875</v>
      </c>
      <c r="AJ13" s="13" t="n">
        <v>0.04420082062483743</v>
      </c>
    </row>
    <row r="14" ht="15" customHeight="1" s="22">
      <c r="A14" s="34" t="inlineStr">
        <is>
          <t>CCS-001</t>
        </is>
      </c>
      <c r="B14" s="35" t="n">
        <v>45912</v>
      </c>
      <c r="C14" s="35" t="n">
        <v>49594</v>
      </c>
      <c r="D14" s="34" t="inlineStr">
        <is>
          <t>B/S</t>
        </is>
      </c>
      <c r="E14" s="34" t="inlineStr">
        <is>
          <t>USD</t>
        </is>
      </c>
      <c r="F14" s="34" t="inlineStr">
        <is>
          <t>THB</t>
        </is>
      </c>
      <c r="G14" s="59" t="n">
        <v>1000000</v>
      </c>
      <c r="H14" s="34" t="inlineStr">
        <is>
          <t>Fixed</t>
        </is>
      </c>
      <c r="I14" s="34" t="n"/>
      <c r="J14" s="34" t="n">
        <v>1.5</v>
      </c>
      <c r="K14" s="59" t="n"/>
      <c r="L14" s="34" t="inlineStr">
        <is>
          <t>Act365f</t>
        </is>
      </c>
      <c r="M14" s="34" t="inlineStr">
        <is>
          <t>Q</t>
        </is>
      </c>
      <c r="N14" s="34" t="inlineStr">
        <is>
          <t>Q</t>
        </is>
      </c>
      <c r="O14" s="34" t="inlineStr">
        <is>
          <t>th</t>
        </is>
      </c>
      <c r="P14" s="34" t="inlineStr">
        <is>
          <t>JPY</t>
        </is>
      </c>
      <c r="Q14" s="59" t="n">
        <v>4642485.530926129</v>
      </c>
      <c r="R14" s="34" t="inlineStr">
        <is>
          <t>Float</t>
        </is>
      </c>
      <c r="S14" s="34" t="inlineStr">
        <is>
          <t>TONR</t>
        </is>
      </c>
      <c r="T14" s="34" t="n"/>
      <c r="U14" s="59" t="n"/>
      <c r="V14" s="34" t="inlineStr">
        <is>
          <t>Act365f</t>
        </is>
      </c>
      <c r="W14" s="34" t="inlineStr">
        <is>
          <t>Q</t>
        </is>
      </c>
      <c r="X14" s="34" t="inlineStr">
        <is>
          <t>Q</t>
        </is>
      </c>
      <c r="Y14" s="34" t="inlineStr">
        <is>
          <t>jp</t>
        </is>
      </c>
      <c r="Z14" s="34" t="n">
        <v>2</v>
      </c>
      <c r="AA14" s="34" t="inlineStr">
        <is>
          <t>Live</t>
        </is>
      </c>
      <c r="AB14" s="59" t="n">
        <v>-384.1138358367076</v>
      </c>
      <c r="AC14" s="59" t="n">
        <v>26410.96415011771</v>
      </c>
      <c r="AD14" s="59" t="n">
        <v>-179255.6736694723</v>
      </c>
      <c r="AE14" s="59" t="n">
        <v>-38.55401243000451</v>
      </c>
      <c r="AH14" s="13" t="inlineStr">
        <is>
          <t>3W</t>
        </is>
      </c>
      <c r="AI14" s="13" t="n">
        <v>0.47875</v>
      </c>
      <c r="AJ14" s="13" t="n">
        <v>-0.01784942211565976</v>
      </c>
    </row>
    <row r="15">
      <c r="AH15" s="13" t="inlineStr">
        <is>
          <t>1M</t>
        </is>
      </c>
      <c r="AI15" s="13" t="n">
        <v>0.48025</v>
      </c>
      <c r="AJ15" s="13" t="n">
        <v>0.01159848029055865</v>
      </c>
    </row>
    <row r="16">
      <c r="AH16" s="13" t="inlineStr">
        <is>
          <t>2M</t>
        </is>
      </c>
      <c r="AI16" s="13" t="n">
        <v>0.49641</v>
      </c>
      <c r="AJ16" s="13" t="n">
        <v>0.0002490756005499861</v>
      </c>
    </row>
    <row r="17">
      <c r="A17" s="13" t="inlineStr">
        <is>
          <t>TONR-12M</t>
        </is>
      </c>
      <c r="AH17" s="13" t="inlineStr">
        <is>
          <t>3M</t>
        </is>
      </c>
      <c r="AI17" s="13" t="n">
        <v>0.51749</v>
      </c>
      <c r="AJ17" s="13" t="n">
        <v>-0.01966652313763007</v>
      </c>
    </row>
    <row r="18" ht="45" customHeight="1" s="22">
      <c r="A18" s="36" t="inlineStr">
        <is>
          <t>Booking
ID</t>
        </is>
      </c>
      <c r="B18" s="26" t="inlineStr">
        <is>
          <t>Effective
 Date</t>
        </is>
      </c>
      <c r="C18" s="26" t="inlineStr">
        <is>
          <t>Maturity
 Date</t>
        </is>
      </c>
      <c r="D18" s="36" t="inlineStr">
        <is>
          <t>S/B or 
B/S</t>
        </is>
      </c>
      <c r="E18" s="36" t="inlineStr">
        <is>
          <t>PL Currency</t>
        </is>
      </c>
      <c r="F18" s="24" t="inlineStr">
        <is>
          <t>Leg 1
 Currency</t>
        </is>
      </c>
      <c r="G18" s="24" t="inlineStr">
        <is>
          <t>Leg 1
Notional</t>
        </is>
      </c>
      <c r="H18" s="24" t="inlineStr">
        <is>
          <t>Leg 1
Fixed / Float</t>
        </is>
      </c>
      <c r="I18" s="24" t="inlineStr">
        <is>
          <t>Leg 1
Index</t>
        </is>
      </c>
      <c r="J18" s="24" t="inlineStr">
        <is>
          <t>Leg 1
Rate (%)</t>
        </is>
      </c>
      <c r="K18" s="24" t="inlineStr">
        <is>
          <t>Leg 1
Spread (bp)</t>
        </is>
      </c>
      <c r="L18" s="24" t="inlineStr">
        <is>
          <t>Leg 1
DayCount</t>
        </is>
      </c>
      <c r="M18" s="24" t="inlineStr">
        <is>
          <t>Leg 1
Pay Freq</t>
        </is>
      </c>
      <c r="N18" s="24" t="inlineStr">
        <is>
          <t>Leg 1
Restet Freq</t>
        </is>
      </c>
      <c r="O18" s="24" t="inlineStr">
        <is>
          <t>Leg 1
Calendar</t>
        </is>
      </c>
      <c r="P18" s="25" t="inlineStr">
        <is>
          <t>Leg 2
Currency</t>
        </is>
      </c>
      <c r="Q18" s="25" t="inlineStr">
        <is>
          <t>Leg 2
Notional</t>
        </is>
      </c>
      <c r="R18" s="25" t="inlineStr">
        <is>
          <t>Leg 2
Fixed / Float</t>
        </is>
      </c>
      <c r="S18" s="25" t="inlineStr">
        <is>
          <t>Leg 2
Index</t>
        </is>
      </c>
      <c r="T18" s="25" t="inlineStr">
        <is>
          <t>Leg 2
Rate (%)</t>
        </is>
      </c>
      <c r="U18" s="25" t="inlineStr">
        <is>
          <t>Leg 2
Spread (bp)</t>
        </is>
      </c>
      <c r="V18" s="25" t="inlineStr">
        <is>
          <t>Leg 2
DayCount</t>
        </is>
      </c>
      <c r="W18" s="25" t="inlineStr">
        <is>
          <t>Leg 2
Frequency</t>
        </is>
      </c>
      <c r="X18" s="25" t="inlineStr">
        <is>
          <t>Leg 2
Restet Freq</t>
        </is>
      </c>
      <c r="Y18" s="25" t="inlineStr">
        <is>
          <t>Leg 2
Calendar</t>
        </is>
      </c>
      <c r="Z18" s="27" t="inlineStr">
        <is>
          <t>Payment
Lag</t>
        </is>
      </c>
      <c r="AA18" s="27" t="inlineStr">
        <is>
          <t>Trade Status</t>
        </is>
      </c>
      <c r="AB18" s="28" t="inlineStr">
        <is>
          <t>Net NPV</t>
        </is>
      </c>
      <c r="AC18" s="28" t="inlineStr">
        <is>
          <t>Leg_1_NPV</t>
        </is>
      </c>
      <c r="AD18" s="28" t="inlineStr">
        <is>
          <t>Leg_2_NPV</t>
        </is>
      </c>
      <c r="AE18" s="28" t="inlineStr">
        <is>
          <t>Break_Even_Spread</t>
        </is>
      </c>
      <c r="AH18" s="13" t="inlineStr">
        <is>
          <t>4M</t>
        </is>
      </c>
      <c r="AI18" s="13" t="n">
        <v>0.54238</v>
      </c>
      <c r="AJ18" s="13" t="n">
        <v>0.02099531827457213</v>
      </c>
    </row>
    <row r="19" ht="15" customHeight="1" s="22">
      <c r="A19" s="34" t="inlineStr">
        <is>
          <t>CCS-001</t>
        </is>
      </c>
      <c r="B19" s="35" t="n">
        <v>45912</v>
      </c>
      <c r="C19" s="35" t="n">
        <v>49594</v>
      </c>
      <c r="D19" s="34" t="inlineStr">
        <is>
          <t>B/S</t>
        </is>
      </c>
      <c r="E19" s="34" t="inlineStr">
        <is>
          <t>USD</t>
        </is>
      </c>
      <c r="F19" s="34" t="inlineStr">
        <is>
          <t>THB</t>
        </is>
      </c>
      <c r="G19" s="59" t="n">
        <v>1000000</v>
      </c>
      <c r="H19" s="34" t="inlineStr">
        <is>
          <t>Fixed</t>
        </is>
      </c>
      <c r="I19" s="34" t="n"/>
      <c r="J19" s="34" t="n">
        <v>1.5</v>
      </c>
      <c r="K19" s="59" t="n"/>
      <c r="L19" s="34" t="inlineStr">
        <is>
          <t>Act365f</t>
        </is>
      </c>
      <c r="M19" s="34" t="inlineStr">
        <is>
          <t>Q</t>
        </is>
      </c>
      <c r="N19" s="34" t="inlineStr">
        <is>
          <t>Q</t>
        </is>
      </c>
      <c r="O19" s="34" t="inlineStr">
        <is>
          <t>th</t>
        </is>
      </c>
      <c r="P19" s="34" t="inlineStr">
        <is>
          <t>JPY</t>
        </is>
      </c>
      <c r="Q19" s="59" t="n">
        <v>4642485.530926129</v>
      </c>
      <c r="R19" s="34" t="inlineStr">
        <is>
          <t>Float</t>
        </is>
      </c>
      <c r="S19" s="34" t="inlineStr">
        <is>
          <t>TONR</t>
        </is>
      </c>
      <c r="T19" s="34" t="n"/>
      <c r="U19" s="59" t="n"/>
      <c r="V19" s="34" t="inlineStr">
        <is>
          <t>Act365f</t>
        </is>
      </c>
      <c r="W19" s="34" t="inlineStr">
        <is>
          <t>Q</t>
        </is>
      </c>
      <c r="X19" s="34" t="inlineStr">
        <is>
          <t>Q</t>
        </is>
      </c>
      <c r="Y19" s="34" t="inlineStr">
        <is>
          <t>jp</t>
        </is>
      </c>
      <c r="Z19" s="34" t="n">
        <v>2</v>
      </c>
      <c r="AA19" s="34" t="inlineStr">
        <is>
          <t>Live</t>
        </is>
      </c>
      <c r="AB19" s="59" t="n">
        <v>-384.4633755762042</v>
      </c>
      <c r="AC19" s="59" t="n">
        <v>26410.96415011771</v>
      </c>
      <c r="AD19" s="59" t="n">
        <v>-179307.2183723873</v>
      </c>
      <c r="AE19" s="59" t="n">
        <v>-38.56556118741702</v>
      </c>
      <c r="AH19" s="13" t="inlineStr">
        <is>
          <t>5M</t>
        </is>
      </c>
      <c r="AI19" s="13" t="n">
        <v>0.56684</v>
      </c>
      <c r="AJ19" s="13" t="n">
        <v>-0.0009732341241033282</v>
      </c>
    </row>
    <row r="20">
      <c r="AH20" s="13" t="inlineStr">
        <is>
          <t>6M</t>
        </is>
      </c>
      <c r="AI20" s="13" t="n">
        <v>0.58592</v>
      </c>
      <c r="AJ20" s="13" t="n">
        <v>0.003069518818620054</v>
      </c>
    </row>
    <row r="21">
      <c r="A21" s="13" t="inlineStr">
        <is>
          <t>USDTHB-12M</t>
        </is>
      </c>
      <c r="AH21" s="13" t="inlineStr">
        <is>
          <t>7M</t>
        </is>
      </c>
      <c r="AI21" s="13" t="n">
        <v>0.60625</v>
      </c>
      <c r="AJ21" s="13" t="n">
        <v>-0.02770347327441414</v>
      </c>
    </row>
    <row r="22" ht="45" customHeight="1" s="22">
      <c r="A22" s="36" t="inlineStr">
        <is>
          <t>Booking
ID</t>
        </is>
      </c>
      <c r="B22" s="26" t="inlineStr">
        <is>
          <t>Effective
 Date</t>
        </is>
      </c>
      <c r="C22" s="26" t="inlineStr">
        <is>
          <t>Maturity
 Date</t>
        </is>
      </c>
      <c r="D22" s="36" t="inlineStr">
        <is>
          <t>S/B or 
B/S</t>
        </is>
      </c>
      <c r="E22" s="36" t="inlineStr">
        <is>
          <t>PL Currency</t>
        </is>
      </c>
      <c r="F22" s="24" t="inlineStr">
        <is>
          <t>Leg 1
 Currency</t>
        </is>
      </c>
      <c r="G22" s="24" t="inlineStr">
        <is>
          <t>Leg 1
Notional</t>
        </is>
      </c>
      <c r="H22" s="24" t="inlineStr">
        <is>
          <t>Leg 1
Fixed / Float</t>
        </is>
      </c>
      <c r="I22" s="24" t="inlineStr">
        <is>
          <t>Leg 1
Index</t>
        </is>
      </c>
      <c r="J22" s="24" t="inlineStr">
        <is>
          <t>Leg 1
Rate (%)</t>
        </is>
      </c>
      <c r="K22" s="24" t="inlineStr">
        <is>
          <t>Leg 1
Spread (bp)</t>
        </is>
      </c>
      <c r="L22" s="24" t="inlineStr">
        <is>
          <t>Leg 1
DayCount</t>
        </is>
      </c>
      <c r="M22" s="24" t="inlineStr">
        <is>
          <t>Leg 1
Pay Freq</t>
        </is>
      </c>
      <c r="N22" s="24" t="inlineStr">
        <is>
          <t>Leg 1
Restet Freq</t>
        </is>
      </c>
      <c r="O22" s="24" t="inlineStr">
        <is>
          <t>Leg 1
Calendar</t>
        </is>
      </c>
      <c r="P22" s="25" t="inlineStr">
        <is>
          <t>Leg 2
Currency</t>
        </is>
      </c>
      <c r="Q22" s="25" t="inlineStr">
        <is>
          <t>Leg 2
Notional</t>
        </is>
      </c>
      <c r="R22" s="25" t="inlineStr">
        <is>
          <t>Leg 2
Fixed / Float</t>
        </is>
      </c>
      <c r="S22" s="25" t="inlineStr">
        <is>
          <t>Leg 2
Index</t>
        </is>
      </c>
      <c r="T22" s="25" t="inlineStr">
        <is>
          <t>Leg 2
Rate (%)</t>
        </is>
      </c>
      <c r="U22" s="25" t="inlineStr">
        <is>
          <t>Leg 2
Spread (bp)</t>
        </is>
      </c>
      <c r="V22" s="25" t="inlineStr">
        <is>
          <t>Leg 2
DayCount</t>
        </is>
      </c>
      <c r="W22" s="25" t="inlineStr">
        <is>
          <t>Leg 2
Frequency</t>
        </is>
      </c>
      <c r="X22" s="25" t="inlineStr">
        <is>
          <t>Leg 2
Restet Freq</t>
        </is>
      </c>
      <c r="Y22" s="25" t="inlineStr">
        <is>
          <t>Leg 2
Calendar</t>
        </is>
      </c>
      <c r="Z22" s="27" t="inlineStr">
        <is>
          <t>Payment
Lag</t>
        </is>
      </c>
      <c r="AA22" s="27" t="inlineStr">
        <is>
          <t>Trade Status</t>
        </is>
      </c>
      <c r="AB22" s="28" t="inlineStr">
        <is>
          <t>Net NPV</t>
        </is>
      </c>
      <c r="AC22" s="28" t="inlineStr">
        <is>
          <t>Leg_1_NPV</t>
        </is>
      </c>
      <c r="AD22" s="28" t="inlineStr">
        <is>
          <t>Leg_2_NPV</t>
        </is>
      </c>
      <c r="AE22" s="28" t="inlineStr">
        <is>
          <t>Break_Even_Spread</t>
        </is>
      </c>
      <c r="AH22" s="13" t="inlineStr">
        <is>
          <t>8M</t>
        </is>
      </c>
      <c r="AI22" s="13" t="n">
        <v>0.62409</v>
      </c>
      <c r="AJ22" s="13" t="n">
        <v>0.03290217357880465</v>
      </c>
    </row>
    <row r="23" ht="15" customHeight="1" s="22">
      <c r="A23" s="34" t="inlineStr">
        <is>
          <t>CCS-001</t>
        </is>
      </c>
      <c r="B23" s="35" t="n">
        <v>45912</v>
      </c>
      <c r="C23" s="35" t="n">
        <v>49594</v>
      </c>
      <c r="D23" s="34" t="inlineStr">
        <is>
          <t>B/S</t>
        </is>
      </c>
      <c r="E23" s="34" t="inlineStr">
        <is>
          <t>USD</t>
        </is>
      </c>
      <c r="F23" s="34" t="inlineStr">
        <is>
          <t>THB</t>
        </is>
      </c>
      <c r="G23" s="59" t="n">
        <v>1000000</v>
      </c>
      <c r="H23" s="34" t="inlineStr">
        <is>
          <t>Fixed</t>
        </is>
      </c>
      <c r="I23" s="34" t="n"/>
      <c r="J23" s="34" t="n">
        <v>1.5</v>
      </c>
      <c r="K23" s="59" t="n"/>
      <c r="L23" s="34" t="inlineStr">
        <is>
          <t>Act365f</t>
        </is>
      </c>
      <c r="M23" s="34" t="inlineStr">
        <is>
          <t>Q</t>
        </is>
      </c>
      <c r="N23" s="34" t="inlineStr">
        <is>
          <t>Q</t>
        </is>
      </c>
      <c r="O23" s="34" t="inlineStr">
        <is>
          <t>th</t>
        </is>
      </c>
      <c r="P23" s="34" t="inlineStr">
        <is>
          <t>JPY</t>
        </is>
      </c>
      <c r="Q23" s="59" t="n">
        <v>4642485.530926129</v>
      </c>
      <c r="R23" s="34" t="inlineStr">
        <is>
          <t>Float</t>
        </is>
      </c>
      <c r="S23" s="34" t="inlineStr">
        <is>
          <t>TONR</t>
        </is>
      </c>
      <c r="T23" s="34" t="n"/>
      <c r="U23" s="59" t="n"/>
      <c r="V23" s="34" t="inlineStr">
        <is>
          <t>Act365f</t>
        </is>
      </c>
      <c r="W23" s="34" t="inlineStr">
        <is>
          <t>Q</t>
        </is>
      </c>
      <c r="X23" s="34" t="inlineStr">
        <is>
          <t>Q</t>
        </is>
      </c>
      <c r="Y23" s="34" t="inlineStr">
        <is>
          <t>jp</t>
        </is>
      </c>
      <c r="Z23" s="34" t="n">
        <v>2</v>
      </c>
      <c r="AA23" s="34" t="inlineStr">
        <is>
          <t>Live</t>
        </is>
      </c>
      <c r="AB23" s="59" t="n">
        <v>-384.0694502781464</v>
      </c>
      <c r="AC23" s="59" t="n">
        <v>26410.9587235346</v>
      </c>
      <c r="AD23" s="59" t="n">
        <v>-179249.1031824383</v>
      </c>
      <c r="AE23" s="59" t="n">
        <v>-38.55253115769344</v>
      </c>
      <c r="AH23" s="13" t="inlineStr">
        <is>
          <t>9M</t>
        </is>
      </c>
      <c r="AI23" s="13" t="n">
        <v>0.64412</v>
      </c>
      <c r="AJ23" s="13" t="n">
        <v>0.08726781527548155</v>
      </c>
    </row>
    <row r="24">
      <c r="AH24" s="13" t="inlineStr">
        <is>
          <t>10M</t>
        </is>
      </c>
      <c r="AI24" s="13" t="n">
        <v>0.6607499999999999</v>
      </c>
      <c r="AJ24" s="13" t="n">
        <v>-0.1849225621617734</v>
      </c>
    </row>
    <row r="25">
      <c r="AH25" s="13" t="inlineStr">
        <is>
          <t>11M</t>
        </is>
      </c>
      <c r="AI25" s="13" t="n">
        <v>0.67825</v>
      </c>
      <c r="AJ25" s="13" t="n">
        <v>0.3822394117064505</v>
      </c>
    </row>
    <row r="26">
      <c r="AH26" s="13" t="inlineStr">
        <is>
          <t>12M</t>
        </is>
      </c>
      <c r="AI26" s="13" t="n">
        <v>0.6965</v>
      </c>
      <c r="AJ26" s="13" t="n">
        <v>-0.3940961380469616</v>
      </c>
      <c r="AL26" s="41">
        <f>AB19-AB2</f>
        <v/>
      </c>
    </row>
    <row r="27">
      <c r="AH27" s="13" t="inlineStr">
        <is>
          <t>15M</t>
        </is>
      </c>
      <c r="AI27" s="13" t="n">
        <v>0.73993</v>
      </c>
      <c r="AJ27" s="13" t="n">
        <v>0.1052862740220917</v>
      </c>
    </row>
    <row r="28">
      <c r="AH28" s="13" t="inlineStr">
        <is>
          <t>18M</t>
        </is>
      </c>
      <c r="AI28" s="13" t="n">
        <v>0.7777500000000001</v>
      </c>
      <c r="AJ28" s="13" t="n">
        <v>0.008131356586090988</v>
      </c>
    </row>
    <row r="29">
      <c r="AH29" s="13" t="inlineStr">
        <is>
          <t>21M</t>
        </is>
      </c>
      <c r="AI29" s="13" t="n">
        <v>0.81375</v>
      </c>
      <c r="AJ29" s="13" t="n">
        <v>0.07751483718834606</v>
      </c>
    </row>
    <row r="30">
      <c r="AH30" s="13" t="inlineStr">
        <is>
          <t>2Y</t>
        </is>
      </c>
      <c r="AI30" s="13" t="n">
        <v>0.8425</v>
      </c>
      <c r="AJ30" s="13" t="n">
        <v>-0.06657461096233419</v>
      </c>
    </row>
    <row r="31">
      <c r="AH31" s="13" t="inlineStr">
        <is>
          <t>3Y</t>
        </is>
      </c>
      <c r="AI31" s="13" t="n">
        <v>0.9325</v>
      </c>
      <c r="AJ31" s="13" t="n">
        <v>0.05347734491510892</v>
      </c>
    </row>
    <row r="32">
      <c r="AH32" s="13" t="inlineStr">
        <is>
          <t>4Y</t>
        </is>
      </c>
      <c r="AI32" s="13" t="n">
        <v>0.99625</v>
      </c>
      <c r="AJ32" s="13" t="n">
        <v>0.04649332442181731</v>
      </c>
    </row>
    <row r="33">
      <c r="AH33" s="13" t="inlineStr">
        <is>
          <t>5Y</t>
        </is>
      </c>
      <c r="AI33" s="13" t="n">
        <v>1.05125</v>
      </c>
      <c r="AJ33" s="13" t="n">
        <v>0.0600059706855518</v>
      </c>
    </row>
    <row r="34">
      <c r="AH34" s="13" t="inlineStr">
        <is>
          <t>6Y</t>
        </is>
      </c>
      <c r="AI34" s="13" t="n">
        <v>1.1075</v>
      </c>
      <c r="AJ34" s="13" t="n">
        <v>0.06974474341700443</v>
      </c>
    </row>
    <row r="35">
      <c r="AH35" s="13" t="inlineStr">
        <is>
          <t>7Y</t>
        </is>
      </c>
      <c r="AI35" s="13" t="n">
        <v>1.17</v>
      </c>
      <c r="AJ35" s="13" t="n">
        <v>0.08092358382759812</v>
      </c>
    </row>
    <row r="36">
      <c r="AH36" s="13" t="inlineStr">
        <is>
          <t>8Y</t>
        </is>
      </c>
      <c r="AI36" s="13" t="n">
        <v>1.23625</v>
      </c>
      <c r="AJ36" s="13" t="n">
        <v>0.09314190187910754</v>
      </c>
    </row>
    <row r="37">
      <c r="AH37" s="13" t="inlineStr">
        <is>
          <t>9Y</t>
        </is>
      </c>
      <c r="AI37" s="13" t="n">
        <v>1.30625</v>
      </c>
      <c r="AJ37" s="13" t="n">
        <v>0.102926732285141</v>
      </c>
    </row>
    <row r="38">
      <c r="AH38" s="13" t="inlineStr">
        <is>
          <t>10Y</t>
        </is>
      </c>
      <c r="AI38" s="13" t="n">
        <v>1.38</v>
      </c>
      <c r="AJ38" s="13" t="n">
        <v>0.8260938591922695</v>
      </c>
    </row>
    <row r="39">
      <c r="AH39" s="13" t="inlineStr">
        <is>
          <t>11Y</t>
        </is>
      </c>
      <c r="AI39" s="13" t="n">
        <v>1.46</v>
      </c>
      <c r="AJ39" s="13" t="n">
        <v>-1.947862156141355</v>
      </c>
    </row>
    <row r="40">
      <c r="AH40" s="13" t="inlineStr">
        <is>
          <t>12Y</t>
        </is>
      </c>
      <c r="AI40" s="13" t="n">
        <v>1.53625</v>
      </c>
      <c r="AJ40" s="13" t="n">
        <v>1.28355606094965</v>
      </c>
    </row>
    <row r="41">
      <c r="AH41" s="13" t="inlineStr">
        <is>
          <t>15Y</t>
        </is>
      </c>
      <c r="AI41" s="13" t="n">
        <v>1.78</v>
      </c>
      <c r="AJ41" s="13" t="n">
        <v>9.487677743891254e-06</v>
      </c>
    </row>
    <row r="42">
      <c r="AH42" s="13" t="inlineStr">
        <is>
          <t>20Y</t>
        </is>
      </c>
      <c r="AI42" s="13" t="n">
        <v>2.13125</v>
      </c>
      <c r="AJ42" s="13" t="n">
        <v>-8.303686627186835e-10</v>
      </c>
    </row>
    <row r="43">
      <c r="AH43" s="13" t="inlineStr">
        <is>
          <t>25Y</t>
        </is>
      </c>
      <c r="AI43" s="13" t="n">
        <v>2.3525</v>
      </c>
      <c r="AJ43" s="13" t="n">
        <v>-1.23463905765675e-09</v>
      </c>
    </row>
    <row r="44">
      <c r="AH44" s="13" t="inlineStr">
        <is>
          <t>30Y</t>
        </is>
      </c>
      <c r="AI44" s="13" t="n">
        <v>2.48525</v>
      </c>
      <c r="AJ44" s="13" t="n">
        <v>-1.310354491579346e-09</v>
      </c>
    </row>
    <row r="45">
      <c r="AH45" s="13" t="inlineStr">
        <is>
          <t>35Y</t>
        </is>
      </c>
      <c r="AI45" s="13" t="n">
        <v>2.57375</v>
      </c>
      <c r="AJ45" s="13" t="n">
        <v>-1.004082150757313e-09</v>
      </c>
    </row>
    <row r="46">
      <c r="AH46" s="13" t="inlineStr">
        <is>
          <t>40Y</t>
        </is>
      </c>
      <c r="AI46" s="13" t="n">
        <v>2.63025</v>
      </c>
      <c r="AJ46" s="13" t="n">
        <v>6.002665031701326e-11</v>
      </c>
    </row>
    <row r="48">
      <c r="AH48" s="13" t="inlineStr">
        <is>
          <t>USD_SOFR Curve</t>
        </is>
      </c>
    </row>
    <row r="49">
      <c r="AH49" s="13" t="inlineStr">
        <is>
          <t>Tenor</t>
        </is>
      </c>
      <c r="AI49" s="13" t="inlineStr">
        <is>
          <t>Rate (%)</t>
        </is>
      </c>
      <c r="AJ49" s="13" t="inlineStr">
        <is>
          <t>DV01</t>
        </is>
      </c>
    </row>
    <row r="50">
      <c r="AH50" s="13" t="inlineStr">
        <is>
          <t>1W</t>
        </is>
      </c>
      <c r="AI50" s="13" t="n">
        <v>4.3637</v>
      </c>
      <c r="AJ50" s="13" t="n">
        <v>9.675773071649019e-08</v>
      </c>
    </row>
    <row r="51">
      <c r="AH51" s="13" t="inlineStr">
        <is>
          <t>2W</t>
        </is>
      </c>
      <c r="AI51" s="13" t="n">
        <v>4.23585</v>
      </c>
      <c r="AJ51" s="13" t="n">
        <v>7.469102456525434e-07</v>
      </c>
    </row>
    <row r="52">
      <c r="AH52" s="13" t="inlineStr">
        <is>
          <t>3W</t>
        </is>
      </c>
      <c r="AI52" s="13" t="n">
        <v>4.21635</v>
      </c>
      <c r="AJ52" s="13" t="n">
        <v>1.70530256582424e-12</v>
      </c>
    </row>
    <row r="53">
      <c r="AH53" s="13" t="inlineStr">
        <is>
          <t>1M</t>
        </is>
      </c>
      <c r="AI53" s="13" t="n">
        <v>4.18593</v>
      </c>
      <c r="AJ53" s="13" t="n">
        <v>-1.421566366843763e-07</v>
      </c>
    </row>
    <row r="54">
      <c r="AH54" s="13" t="inlineStr">
        <is>
          <t>2M</t>
        </is>
      </c>
      <c r="AI54" s="13" t="n">
        <v>4.12204</v>
      </c>
      <c r="AJ54" s="13" t="n">
        <v>-1.312298536504386e-07</v>
      </c>
    </row>
    <row r="55">
      <c r="AH55" s="13" t="inlineStr">
        <is>
          <t>3M</t>
        </is>
      </c>
      <c r="AI55" s="13" t="n">
        <v>4.06637</v>
      </c>
      <c r="AJ55" s="13" t="n">
        <v>-7.800739012964186e-06</v>
      </c>
    </row>
    <row r="56">
      <c r="AH56" s="13" t="inlineStr">
        <is>
          <t>4M</t>
        </is>
      </c>
      <c r="AI56" s="13" t="n">
        <v>3.9925</v>
      </c>
      <c r="AJ56" s="13" t="n">
        <v>1.127485677443474e-05</v>
      </c>
    </row>
    <row r="57">
      <c r="AH57" s="13" t="inlineStr">
        <is>
          <t>5M</t>
        </is>
      </c>
      <c r="AI57" s="13" t="n">
        <v>3.93355</v>
      </c>
      <c r="AJ57" s="13" t="n">
        <v>7.84410417509207e-07</v>
      </c>
    </row>
    <row r="58">
      <c r="AH58" s="13" t="inlineStr">
        <is>
          <t>6M</t>
        </is>
      </c>
      <c r="AI58" s="13" t="n">
        <v>3.8882</v>
      </c>
      <c r="AJ58" s="13" t="n">
        <v>-1.641083372305729e-05</v>
      </c>
    </row>
    <row r="59">
      <c r="AH59" s="13" t="inlineStr">
        <is>
          <t>7M</t>
        </is>
      </c>
      <c r="AI59" s="13" t="n">
        <v>3.83797</v>
      </c>
      <c r="AJ59" s="13" t="n">
        <v>1.99562063016856e-05</v>
      </c>
    </row>
    <row r="60">
      <c r="AH60" s="13" t="inlineStr">
        <is>
          <t>8M</t>
        </is>
      </c>
      <c r="AI60" s="13" t="n">
        <v>3.79665</v>
      </c>
      <c r="AJ60" s="13" t="n">
        <v>2.728484105318785e-12</v>
      </c>
    </row>
    <row r="61">
      <c r="AH61" s="13" t="inlineStr">
        <is>
          <t>9M</t>
        </is>
      </c>
      <c r="AI61" s="13" t="n">
        <v>3.7582</v>
      </c>
      <c r="AJ61" s="13" t="n">
        <v>-2.279788373016345e-05</v>
      </c>
    </row>
    <row r="62">
      <c r="AH62" s="13" t="inlineStr">
        <is>
          <t>10M</t>
        </is>
      </c>
      <c r="AI62" s="13" t="n">
        <v>3.71525</v>
      </c>
      <c r="AJ62" s="13" t="n">
        <v>3.069631475227652e-05</v>
      </c>
    </row>
    <row r="63">
      <c r="AH63" s="13" t="inlineStr">
        <is>
          <t>11M</t>
        </is>
      </c>
      <c r="AI63" s="13" t="n">
        <v>3.675</v>
      </c>
      <c r="AJ63" s="13" t="n">
        <v>-3.637978807091713e-12</v>
      </c>
    </row>
    <row r="64">
      <c r="AH64" s="13" t="inlineStr">
        <is>
          <t>1Y</t>
        </is>
      </c>
      <c r="AI64" s="13" t="n">
        <v>3.6339</v>
      </c>
      <c r="AJ64" s="13" t="n">
        <v>-1.32101589542799e-05</v>
      </c>
    </row>
    <row r="65">
      <c r="AH65" s="13" t="inlineStr">
        <is>
          <t>18M</t>
        </is>
      </c>
      <c r="AI65" s="13" t="n">
        <v>3.4171</v>
      </c>
      <c r="AJ65" s="13" t="n">
        <v>5.528415954358934e-06</v>
      </c>
    </row>
    <row r="66">
      <c r="AH66" s="13" t="inlineStr">
        <is>
          <t>2Y</t>
        </is>
      </c>
      <c r="AI66" s="13" t="n">
        <v>3.302</v>
      </c>
      <c r="AJ66" s="13" t="n">
        <v>-1.108783635572763e-06</v>
      </c>
    </row>
    <row r="67">
      <c r="AH67" s="13" t="inlineStr">
        <is>
          <t>3Y</t>
        </is>
      </c>
      <c r="AI67" s="13" t="n">
        <v>3.21275</v>
      </c>
      <c r="AJ67" s="13" t="n">
        <v>-8.642842999506684e-06</v>
      </c>
    </row>
    <row r="68">
      <c r="AH68" s="13" t="inlineStr">
        <is>
          <t>4Y</t>
        </is>
      </c>
      <c r="AI68" s="13" t="n">
        <v>3.2039</v>
      </c>
      <c r="AJ68" s="13" t="n">
        <v>-2.235403997019603e-05</v>
      </c>
    </row>
    <row r="69">
      <c r="AH69" s="13" t="inlineStr">
        <is>
          <t>5Y</t>
        </is>
      </c>
      <c r="AI69" s="13" t="n">
        <v>3.22961</v>
      </c>
      <c r="AJ69" s="13" t="n">
        <v>-8.423034989846201e-05</v>
      </c>
    </row>
    <row r="70">
      <c r="AH70" s="13" t="inlineStr">
        <is>
          <t>6Y</t>
        </is>
      </c>
      <c r="AI70" s="13" t="n">
        <v>3.27845</v>
      </c>
      <c r="AJ70" s="13" t="n">
        <v>4.511474617174827e-05</v>
      </c>
    </row>
    <row r="71">
      <c r="AH71" s="13" t="inlineStr">
        <is>
          <t>7Y</t>
        </is>
      </c>
      <c r="AI71" s="13" t="n">
        <v>3.33661</v>
      </c>
      <c r="AJ71" s="13" t="n">
        <v>0.0001076308955134664</v>
      </c>
    </row>
    <row r="72">
      <c r="AH72" s="13" t="inlineStr">
        <is>
          <t>8Y</t>
        </is>
      </c>
      <c r="AI72" s="13" t="n">
        <v>3.39917</v>
      </c>
      <c r="AJ72" s="13" t="n">
        <v>3.118716949757072e-05</v>
      </c>
    </row>
    <row r="73">
      <c r="AH73" s="13" t="inlineStr">
        <is>
          <t>9Y</t>
        </is>
      </c>
      <c r="AI73" s="13" t="n">
        <v>3.46173</v>
      </c>
      <c r="AJ73" s="13" t="n">
        <v>3.728474598574394e-05</v>
      </c>
    </row>
    <row r="74">
      <c r="AH74" s="13" t="inlineStr">
        <is>
          <t>10Y</t>
        </is>
      </c>
      <c r="AI74" s="13" t="n">
        <v>3.5227</v>
      </c>
      <c r="AJ74" s="13" t="n">
        <v>7.696294187553576e-05</v>
      </c>
    </row>
    <row r="75">
      <c r="AH75" s="13" t="inlineStr">
        <is>
          <t>12Y</t>
        </is>
      </c>
      <c r="AI75" s="13" t="n">
        <v>3.6365</v>
      </c>
      <c r="AJ75" s="13" t="n">
        <v>7.24865469692304e-06</v>
      </c>
    </row>
    <row r="76">
      <c r="AH76" s="13" t="inlineStr">
        <is>
          <t>15Y</t>
        </is>
      </c>
      <c r="AI76" s="13" t="n">
        <v>3.7682</v>
      </c>
      <c r="AJ76" s="13" t="n">
        <v>7.17999455446261e-08</v>
      </c>
    </row>
    <row r="77">
      <c r="AH77" s="13" t="inlineStr">
        <is>
          <t>20Y</t>
        </is>
      </c>
      <c r="AI77" s="13" t="n">
        <v>3.8815</v>
      </c>
      <c r="AJ77" s="13" t="n">
        <v>9.356426744488999e-11</v>
      </c>
    </row>
    <row r="78">
      <c r="AH78" s="13" t="inlineStr">
        <is>
          <t>25Y</t>
        </is>
      </c>
      <c r="AI78" s="13" t="n">
        <v>3.8985</v>
      </c>
      <c r="AJ78" s="13" t="n">
        <v>3.296918293926865e-12</v>
      </c>
    </row>
    <row r="79">
      <c r="AH79" s="13" t="inlineStr">
        <is>
          <t>30Y</t>
        </is>
      </c>
      <c r="AI79" s="13" t="n">
        <v>3.87225</v>
      </c>
      <c r="AJ79" s="13" t="n">
        <v>8.071765478234738e-12</v>
      </c>
    </row>
    <row r="80">
      <c r="AH80" s="13" t="inlineStr">
        <is>
          <t>40Y</t>
        </is>
      </c>
      <c r="AI80" s="13" t="n">
        <v>3.77065</v>
      </c>
      <c r="AJ80" s="13" t="n">
        <v>7.389644451905042e-12</v>
      </c>
    </row>
    <row r="81">
      <c r="AH81" s="13" t="inlineStr">
        <is>
          <t>50Y</t>
        </is>
      </c>
      <c r="AI81" s="13" t="n">
        <v>3.65801</v>
      </c>
      <c r="AJ81" s="13" t="n">
        <v>1.091393642127514e-11</v>
      </c>
    </row>
    <row r="83">
      <c r="AH83" s="13" t="inlineStr">
        <is>
          <t>USDTHB_CCS Curve</t>
        </is>
      </c>
    </row>
    <row r="84">
      <c r="AH84" s="13" t="inlineStr">
        <is>
          <t>Tenor</t>
        </is>
      </c>
      <c r="AI84" s="13" t="inlineStr">
        <is>
          <t>Rate (%)</t>
        </is>
      </c>
      <c r="AJ84" s="13" t="inlineStr">
        <is>
          <t>DV01</t>
        </is>
      </c>
    </row>
    <row r="85">
      <c r="AH85" s="13" t="inlineStr">
        <is>
          <t>1M</t>
        </is>
      </c>
      <c r="AI85" s="13" t="n">
        <v>-10.0433</v>
      </c>
      <c r="AJ85" s="13" t="n">
        <v>-8.592951303398877e-06</v>
      </c>
    </row>
    <row r="86">
      <c r="AH86" s="13" t="inlineStr">
        <is>
          <t>2M</t>
        </is>
      </c>
      <c r="AI86" s="13" t="n">
        <v>-7.15059</v>
      </c>
      <c r="AJ86" s="13" t="n">
        <v>-2.709492719077389e-07</v>
      </c>
    </row>
    <row r="87">
      <c r="AH87" s="13" t="inlineStr">
        <is>
          <t>3M</t>
        </is>
      </c>
      <c r="AI87" s="13" t="n">
        <v>-6.31578</v>
      </c>
      <c r="AJ87" s="13" t="n">
        <v>-9.998725545301568e-07</v>
      </c>
    </row>
    <row r="88">
      <c r="AH88" s="13" t="inlineStr">
        <is>
          <t>6M</t>
        </is>
      </c>
      <c r="AI88" s="13" t="n">
        <v>-11.89245</v>
      </c>
      <c r="AJ88" s="13" t="n">
        <v>-2.000591723572143e-05</v>
      </c>
    </row>
    <row r="89">
      <c r="AH89" s="13" t="inlineStr">
        <is>
          <t>9M</t>
        </is>
      </c>
      <c r="AI89" s="13" t="n">
        <v>-11.31024</v>
      </c>
      <c r="AJ89" s="13" t="n">
        <v>-4.054923613239225e-05</v>
      </c>
    </row>
    <row r="90">
      <c r="AH90" s="13" t="inlineStr">
        <is>
          <t>12M</t>
        </is>
      </c>
      <c r="AI90" s="13" t="n">
        <v>-9.94994</v>
      </c>
      <c r="AJ90" s="13" t="n">
        <v>-0.0001708399892095258</v>
      </c>
      <c r="AL90" s="74">
        <f>AB23-AB10</f>
        <v/>
      </c>
    </row>
    <row r="91">
      <c r="AH91" s="13" t="inlineStr">
        <is>
          <t>2Y</t>
        </is>
      </c>
      <c r="AI91" s="13" t="n">
        <v>-3</v>
      </c>
      <c r="AJ91" s="13" t="n">
        <v>-0.00041757808503462</v>
      </c>
    </row>
    <row r="92">
      <c r="AH92" s="13" t="inlineStr">
        <is>
          <t>3Y</t>
        </is>
      </c>
      <c r="AI92" s="13" t="n">
        <v>-3</v>
      </c>
      <c r="AJ92" s="13" t="n">
        <v>-0.000507720658447397</v>
      </c>
    </row>
    <row r="93">
      <c r="AH93" s="13" t="inlineStr">
        <is>
          <t>4Y</t>
        </is>
      </c>
      <c r="AI93" s="13" t="n">
        <v>-4.5</v>
      </c>
      <c r="AJ93" s="13" t="n">
        <v>-0.0005685206114094399</v>
      </c>
    </row>
    <row r="94">
      <c r="AH94" s="13" t="inlineStr">
        <is>
          <t>5Y</t>
        </is>
      </c>
      <c r="AI94" s="13" t="n">
        <v>-6</v>
      </c>
      <c r="AJ94" s="13" t="n">
        <v>-0.0007277378541630242</v>
      </c>
    </row>
    <row r="95">
      <c r="AH95" s="13" t="inlineStr">
        <is>
          <t>7Y</t>
        </is>
      </c>
      <c r="AI95" s="13" t="n">
        <v>-13.5</v>
      </c>
      <c r="AJ95" s="13" t="n">
        <v>-1.985074504773365e-05</v>
      </c>
    </row>
    <row r="96">
      <c r="AH96" s="13" t="inlineStr">
        <is>
          <t>10Y</t>
        </is>
      </c>
      <c r="AI96" s="13" t="n">
        <v>-17.5</v>
      </c>
      <c r="AJ96" s="13" t="n">
        <v>-0.2866569185805474</v>
      </c>
    </row>
    <row r="97">
      <c r="AH97" s="13" t="inlineStr">
        <is>
          <t>12Y</t>
        </is>
      </c>
      <c r="AI97" s="13" t="n">
        <v>-18.5</v>
      </c>
      <c r="AJ97" s="13" t="n">
        <v>-0.01236187897620766</v>
      </c>
    </row>
    <row r="98">
      <c r="AH98" s="13" t="inlineStr">
        <is>
          <t>15Y</t>
        </is>
      </c>
      <c r="AI98" s="13" t="n">
        <v>-19</v>
      </c>
      <c r="AJ98" s="13" t="n">
        <v>1.310235120399739e-07</v>
      </c>
    </row>
    <row r="99">
      <c r="AH99" s="13" t="inlineStr">
        <is>
          <t>20Y</t>
        </is>
      </c>
      <c r="AI99" s="13" t="n">
        <v>-20</v>
      </c>
      <c r="AJ99" s="13" t="n">
        <v>0</v>
      </c>
    </row>
    <row r="101">
      <c r="AH101" s="13" t="inlineStr">
        <is>
          <t>USDJPY_CCS Curve</t>
        </is>
      </c>
    </row>
    <row r="102">
      <c r="AH102" s="13" t="inlineStr">
        <is>
          <t>Tenor</t>
        </is>
      </c>
      <c r="AI102" s="13" t="inlineStr">
        <is>
          <t>Rate (%)</t>
        </is>
      </c>
      <c r="AJ102" s="13" t="inlineStr">
        <is>
          <t>DV01</t>
        </is>
      </c>
    </row>
    <row r="103">
      <c r="AH103" s="13" t="inlineStr">
        <is>
          <t>1W</t>
        </is>
      </c>
      <c r="AI103" s="13" t="n">
        <v>-7.55348</v>
      </c>
      <c r="AJ103" s="13" t="n">
        <v>6.967717354200431e-06</v>
      </c>
    </row>
    <row r="104">
      <c r="AH104" s="13" t="inlineStr">
        <is>
          <t>1M</t>
        </is>
      </c>
      <c r="AI104" s="13" t="n">
        <v>-18.61277</v>
      </c>
      <c r="AJ104" s="13" t="n">
        <v>1.140806944022188e-06</v>
      </c>
    </row>
    <row r="105">
      <c r="AH105" s="13" t="inlineStr">
        <is>
          <t>2M</t>
        </is>
      </c>
      <c r="AI105" s="13" t="n">
        <v>-19.28523</v>
      </c>
      <c r="AJ105" s="13" t="n">
        <v>8.676965990161989e-08</v>
      </c>
    </row>
    <row r="106">
      <c r="AH106" s="13" t="inlineStr">
        <is>
          <t>3M</t>
        </is>
      </c>
      <c r="AI106" s="13" t="n">
        <v>-19.74413</v>
      </c>
      <c r="AJ106" s="13" t="n">
        <v>-2.150474074369413e-06</v>
      </c>
    </row>
    <row r="107">
      <c r="AH107" s="13" t="inlineStr">
        <is>
          <t>4M</t>
        </is>
      </c>
      <c r="AI107" s="13" t="n">
        <v>-30.21901</v>
      </c>
      <c r="AJ107" s="13" t="n">
        <v>1.350628531326947e-05</v>
      </c>
    </row>
    <row r="108">
      <c r="AH108" s="13" t="inlineStr">
        <is>
          <t>5M</t>
        </is>
      </c>
      <c r="AI108" s="13" t="n">
        <v>-28.53503</v>
      </c>
      <c r="AJ108" s="13" t="n">
        <v>9.893217338685645e-07</v>
      </c>
    </row>
    <row r="109">
      <c r="AH109" s="13" t="inlineStr">
        <is>
          <t>6M</t>
        </is>
      </c>
      <c r="AI109" s="13" t="n">
        <v>-28.16481</v>
      </c>
      <c r="AJ109" s="13" t="n">
        <v>9.764669130163384e-06</v>
      </c>
    </row>
    <row r="110">
      <c r="AH110" s="13" t="inlineStr">
        <is>
          <t>9M</t>
        </is>
      </c>
      <c r="AI110" s="13" t="n">
        <v>-27.63126</v>
      </c>
      <c r="AJ110" s="13" t="n">
        <v>2.304745885339798e-05</v>
      </c>
    </row>
    <row r="111">
      <c r="AH111" s="13" t="inlineStr">
        <is>
          <t>12M</t>
        </is>
      </c>
      <c r="AI111" s="13" t="n">
        <v>-28.16393</v>
      </c>
      <c r="AJ111" s="13" t="n">
        <v>4.737713015856571e-05</v>
      </c>
    </row>
    <row r="112">
      <c r="AH112" s="13" t="inlineStr">
        <is>
          <t>18M</t>
        </is>
      </c>
      <c r="AI112" s="13" t="n">
        <v>-32.125</v>
      </c>
      <c r="AJ112" s="13" t="n">
        <v>8.981825612863759e-05</v>
      </c>
    </row>
    <row r="113">
      <c r="AH113" s="13" t="inlineStr">
        <is>
          <t>2Y</t>
        </is>
      </c>
      <c r="AI113" s="13" t="n">
        <v>-33.188</v>
      </c>
      <c r="AJ113" s="13" t="n">
        <v>0.0001928347144257714</v>
      </c>
    </row>
    <row r="114">
      <c r="AH114" s="13" t="inlineStr">
        <is>
          <t>3Y</t>
        </is>
      </c>
      <c r="AI114" s="13" t="n">
        <v>-36</v>
      </c>
      <c r="AJ114" s="13" t="n">
        <v>0.0003482692814031907</v>
      </c>
    </row>
    <row r="115">
      <c r="AH115" s="13" t="inlineStr">
        <is>
          <t>4Y</t>
        </is>
      </c>
      <c r="AI115" s="13" t="n">
        <v>-38.625</v>
      </c>
      <c r="AJ115" s="13" t="n">
        <v>0.0004750579987558012</v>
      </c>
    </row>
    <row r="116">
      <c r="AH116" s="13" t="inlineStr">
        <is>
          <t>5Y</t>
        </is>
      </c>
      <c r="AI116" s="13" t="n">
        <v>-39.625</v>
      </c>
      <c r="AJ116" s="13" t="n">
        <v>0.0006056341039766266</v>
      </c>
    </row>
    <row r="117">
      <c r="AH117" s="13" t="inlineStr">
        <is>
          <t>6Y</t>
        </is>
      </c>
      <c r="AI117" s="13" t="n">
        <v>-40.438</v>
      </c>
      <c r="AJ117" s="13" t="n">
        <v>0.0007120384652807843</v>
      </c>
    </row>
    <row r="118">
      <c r="AH118" s="13" t="inlineStr">
        <is>
          <t>7Y</t>
        </is>
      </c>
      <c r="AI118" s="13" t="n">
        <v>-40.562</v>
      </c>
      <c r="AJ118" s="13" t="n">
        <v>0.0008129912569074804</v>
      </c>
    </row>
    <row r="119">
      <c r="AH119" s="13" t="inlineStr">
        <is>
          <t>8Y</t>
        </is>
      </c>
      <c r="AI119" s="13" t="n">
        <v>-40.5</v>
      </c>
      <c r="AJ119" s="13" t="n">
        <v>0.0009370949817366636</v>
      </c>
    </row>
    <row r="120">
      <c r="AH120" s="13" t="inlineStr">
        <is>
          <t>9Y</t>
        </is>
      </c>
      <c r="AI120" s="13" t="n">
        <v>-40.375</v>
      </c>
      <c r="AJ120" s="13" t="n">
        <v>0.001038531883978067</v>
      </c>
    </row>
    <row r="121">
      <c r="AH121" s="13" t="inlineStr">
        <is>
          <t>10Y</t>
        </is>
      </c>
      <c r="AI121" s="13" t="n">
        <v>-40.25</v>
      </c>
      <c r="AJ121" s="13" t="n">
        <v>0.2935554208677331</v>
      </c>
    </row>
    <row r="122">
      <c r="AH122" s="13" t="inlineStr">
        <is>
          <t>12Y</t>
        </is>
      </c>
      <c r="AI122" s="13" t="n">
        <v>-39.75</v>
      </c>
      <c r="AJ122" s="13" t="n">
        <v>0.01262186767417006</v>
      </c>
    </row>
    <row r="123">
      <c r="AH123" s="13" t="inlineStr">
        <is>
          <t>15Y</t>
        </is>
      </c>
      <c r="AI123" s="13" t="n">
        <v>-38.5</v>
      </c>
      <c r="AJ123" s="13" t="n">
        <v>-1.272080680791987e-07</v>
      </c>
    </row>
    <row r="124">
      <c r="AH124" s="13" t="inlineStr">
        <is>
          <t>20Y</t>
        </is>
      </c>
      <c r="AI124" s="13" t="n">
        <v>-35.75</v>
      </c>
      <c r="AJ124" s="13" t="n">
        <v>6.366462912410498e-12</v>
      </c>
    </row>
    <row r="125">
      <c r="AH125" s="13" t="inlineStr">
        <is>
          <t>30Y</t>
        </is>
      </c>
      <c r="AI125" s="13" t="n">
        <v>-31</v>
      </c>
      <c r="AJ125" s="13" t="n">
        <v>0</v>
      </c>
    </row>
    <row r="126">
      <c r="AH126" s="13" t="inlineStr">
        <is>
          <t>40Y</t>
        </is>
      </c>
      <c r="AI126" s="13" t="n">
        <v>-26.25</v>
      </c>
      <c r="AJ126" s="13" t="n">
        <v>6.366462912410498e-12</v>
      </c>
    </row>
  </sheetData>
  <dataValidations count="5">
    <dataValidation sqref="M2:N2 M6:N6 M10:N10 M14:N14 M19:N19 M23:N23 W2:X2 W6:X6 W10:X10 W14:X14 W19:X19 W23:X23" showDropDown="0" showInputMessage="1" showErrorMessage="1" allowBlank="1" type="list">
      <formula1>"M, Q, SA, A"</formula1>
    </dataValidation>
    <dataValidation sqref="AA2 AA6 AA10 AA14 AA19 AA23" showDropDown="0" showInputMessage="1" showErrorMessage="1" allowBlank="1" type="list">
      <formula1>"Live, Dead"</formula1>
    </dataValidation>
    <dataValidation sqref="H2 H6 H10 H14 H19 H23 R2 R6 R10 R14 R19 R23" showDropDown="0" showInputMessage="1" showErrorMessage="1" allowBlank="1" type="list">
      <formula1>"Fixed, Float"</formula1>
    </dataValidation>
    <dataValidation sqref="D2 D6 D10 D14 D19 D23" showDropDown="0" showInputMessage="1" showErrorMessage="1" allowBlank="1" type="list">
      <formula1>"B/S, S/B"</formula1>
    </dataValidation>
    <dataValidation sqref="E2:F2 E6:F6 E10:F10 E14:F14 E19:F19 E23:F23 P2 P6 P10 P14 P19 P23" showDropDown="0" showInputMessage="1" showErrorMessage="1" allowBlank="1" type="list">
      <formula1>"USD, JPY, THB"</formula1>
    </dataValidation>
  </dataValidation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SOFR CURVE</t>
        </is>
      </c>
    </row>
    <row r="2">
      <c r="A2" t="inlineStr">
        <is>
          <t>Date</t>
        </is>
      </c>
      <c r="B2" t="inlineStr">
        <is>
          <t>DF</t>
        </is>
      </c>
      <c r="C2" t="inlineStr">
        <is>
          <t>Zero_Rate</t>
        </is>
      </c>
      <c r="D2" t="inlineStr">
        <is>
          <t>Forward_Rate</t>
        </is>
      </c>
    </row>
    <row r="3">
      <c r="A3" t="inlineStr">
        <is>
          <t>2025-09-10</t>
        </is>
      </c>
      <c r="B3" t="n">
        <v>1</v>
      </c>
      <c r="C3" t="n">
        <v>0</v>
      </c>
      <c r="D3" t="n">
        <v>0</v>
      </c>
    </row>
    <row r="4">
      <c r="A4" t="inlineStr">
        <is>
          <t>2025-09-19</t>
        </is>
      </c>
      <c r="B4" t="n">
        <v>0.99891013189989</v>
      </c>
      <c r="C4" t="n">
        <v>4.42243099944988</v>
      </c>
      <c r="D4" t="n">
        <v>0</v>
      </c>
    </row>
    <row r="5">
      <c r="A5" t="inlineStr">
        <is>
          <t>2025-09-26</t>
        </is>
      </c>
      <c r="B5" t="n">
        <v>0.9981135368955673</v>
      </c>
      <c r="C5" t="n">
        <v>4.307558260515658</v>
      </c>
      <c r="D5" t="n">
        <v>4.159864739028522</v>
      </c>
    </row>
    <row r="6">
      <c r="A6" t="inlineStr">
        <is>
          <t>2025-10-03</t>
        </is>
      </c>
      <c r="B6" t="n">
        <v>0.9973047958277884</v>
      </c>
      <c r="C6" t="n">
        <v>4.282946141819795</v>
      </c>
      <c r="D6" t="n">
        <v>4.226689870514703</v>
      </c>
    </row>
    <row r="7">
      <c r="A7" t="inlineStr">
        <is>
          <t>2025-10-14</t>
        </is>
      </c>
      <c r="B7" t="n">
        <v>0.9960515691322543</v>
      </c>
      <c r="C7" t="n">
        <v>4.247146978669852</v>
      </c>
      <c r="D7" t="n">
        <v>4.172294182992632</v>
      </c>
    </row>
    <row r="8">
      <c r="A8" t="inlineStr">
        <is>
          <t>2025-11-12</t>
        </is>
      </c>
      <c r="B8" t="n">
        <v>0.9928232630002768</v>
      </c>
      <c r="C8" t="n">
        <v>4.172942833417336</v>
      </c>
      <c r="D8" t="n">
        <v>4.08594487001772</v>
      </c>
    </row>
    <row r="9">
      <c r="A9" t="inlineStr">
        <is>
          <t>2025-12-12</t>
        </is>
      </c>
      <c r="B9" t="n">
        <v>0.9895858702370792</v>
      </c>
      <c r="C9" t="n">
        <v>4.108697565423379</v>
      </c>
      <c r="D9" t="n">
        <v>3.973782502636134</v>
      </c>
    </row>
    <row r="10">
      <c r="A10" t="inlineStr">
        <is>
          <t>2026-01-12</t>
        </is>
      </c>
      <c r="B10" t="n">
        <v>0.9864114208464185</v>
      </c>
      <c r="C10" t="n">
        <v>4.02728898706884</v>
      </c>
      <c r="D10" t="n">
        <v>3.783063252005157</v>
      </c>
    </row>
    <row r="11">
      <c r="A11" t="inlineStr">
        <is>
          <t>2026-02-12</t>
        </is>
      </c>
      <c r="B11" t="n">
        <v>0.9833189832295066</v>
      </c>
      <c r="C11" t="n">
        <v>3.96124179890869</v>
      </c>
      <c r="D11" t="n">
        <v>3.697053046268028</v>
      </c>
    </row>
    <row r="12">
      <c r="A12" t="inlineStr">
        <is>
          <t>2026-03-12</t>
        </is>
      </c>
      <c r="B12" t="n">
        <v>0.9805881805821444</v>
      </c>
      <c r="C12" t="n">
        <v>3.909828758102508</v>
      </c>
      <c r="D12" t="n">
        <v>3.625220853639793</v>
      </c>
    </row>
    <row r="13">
      <c r="A13" t="inlineStr">
        <is>
          <t>2026-04-13</t>
        </is>
      </c>
      <c r="B13" t="n">
        <v>0.9775592984138997</v>
      </c>
      <c r="C13" t="n">
        <v>3.853097140739556</v>
      </c>
      <c r="D13" t="n">
        <v>3.528663203945063</v>
      </c>
    </row>
    <row r="14">
      <c r="A14" t="inlineStr">
        <is>
          <t>2026-05-12</t>
        </is>
      </c>
      <c r="B14" t="n">
        <v>0.9748769675227148</v>
      </c>
      <c r="C14" t="n">
        <v>3.80617259528825</v>
      </c>
      <c r="D14" t="n">
        <v>3.458283723838877</v>
      </c>
    </row>
    <row r="15">
      <c r="A15" t="inlineStr">
        <is>
          <t>2026-06-12</t>
        </is>
      </c>
      <c r="B15" t="n">
        <v>0.9720544600771049</v>
      </c>
      <c r="C15" t="n">
        <v>3.761948447255139</v>
      </c>
      <c r="D15" t="n">
        <v>3.413861604671843</v>
      </c>
    </row>
    <row r="16">
      <c r="A16" t="inlineStr">
        <is>
          <t>2026-07-13</t>
        </is>
      </c>
      <c r="B16" t="n">
        <v>0.9693461909142397</v>
      </c>
      <c r="C16" t="n">
        <v>3.713632230909544</v>
      </c>
      <c r="D16" t="n">
        <v>3.285020634295478</v>
      </c>
    </row>
    <row r="17">
      <c r="A17" t="inlineStr">
        <is>
          <t>2026-08-12</t>
        </is>
      </c>
      <c r="B17" t="n">
        <v>0.9667940553917619</v>
      </c>
      <c r="C17" t="n">
        <v>3.668443245593354</v>
      </c>
      <c r="D17" t="n">
        <v>3.207515595368206</v>
      </c>
    </row>
    <row r="18">
      <c r="A18" t="inlineStr">
        <is>
          <t>2026-09-14</t>
        </is>
      </c>
      <c r="B18" t="n">
        <v>0.9640441195698467</v>
      </c>
      <c r="C18" t="n">
        <v>3.622127277516926</v>
      </c>
      <c r="D18" t="n">
        <v>3.150546511647923</v>
      </c>
    </row>
    <row r="19">
      <c r="A19" t="inlineStr">
        <is>
          <t>2027-03-12</t>
        </is>
      </c>
      <c r="B19" t="n">
        <v>0.9499924337217689</v>
      </c>
      <c r="C19" t="n">
        <v>3.416963413644893</v>
      </c>
      <c r="D19" t="n">
        <v>2.994027850690798</v>
      </c>
    </row>
    <row r="20">
      <c r="A20" t="inlineStr">
        <is>
          <t>2027-09-13</t>
        </is>
      </c>
      <c r="B20" t="n">
        <v>0.9360541467469767</v>
      </c>
      <c r="C20" t="n">
        <v>3.290574844136065</v>
      </c>
      <c r="D20" t="n">
        <v>2.916191405807226</v>
      </c>
    </row>
    <row r="21">
      <c r="A21" t="inlineStr">
        <is>
          <t>2028-09-12</t>
        </is>
      </c>
      <c r="B21" t="n">
        <v>0.9081943458758021</v>
      </c>
      <c r="C21" t="n">
        <v>3.201125990985798</v>
      </c>
      <c r="D21" t="n">
        <v>3.021493088631968</v>
      </c>
    </row>
    <row r="22">
      <c r="A22" t="inlineStr">
        <is>
          <t>2029-09-12</t>
        </is>
      </c>
      <c r="B22" t="n">
        <v>0.8798654206948283</v>
      </c>
      <c r="C22" t="n">
        <v>3.193096698241654</v>
      </c>
      <c r="D22" t="n">
        <v>3.168942825822284</v>
      </c>
    </row>
    <row r="23">
      <c r="A23" t="inlineStr">
        <is>
          <t>2030-09-12</t>
        </is>
      </c>
      <c r="B23" t="n">
        <v>0.851034188889086</v>
      </c>
      <c r="C23" t="n">
        <v>3.220765116748048</v>
      </c>
      <c r="D23" t="n">
        <v>3.331666202432585</v>
      </c>
    </row>
    <row r="24">
      <c r="A24" t="inlineStr">
        <is>
          <t>2031-09-12</t>
        </is>
      </c>
      <c r="B24" t="n">
        <v>0.8214728043641737</v>
      </c>
      <c r="C24" t="n">
        <v>3.273123717291762</v>
      </c>
      <c r="D24" t="n">
        <v>3.535347064672329</v>
      </c>
    </row>
    <row r="25">
      <c r="A25" t="inlineStr">
        <is>
          <t>2032-09-13</t>
        </is>
      </c>
      <c r="B25" t="n">
        <v>0.7913815184958575</v>
      </c>
      <c r="C25" t="n">
        <v>3.335973151487398</v>
      </c>
      <c r="D25" t="n">
        <v>3.711528489882568</v>
      </c>
    </row>
    <row r="26">
      <c r="A26" t="inlineStr">
        <is>
          <t>2033-09-12</t>
        </is>
      </c>
      <c r="B26" t="n">
        <v>0.7612940407622836</v>
      </c>
      <c r="C26" t="n">
        <v>3.404531363573023</v>
      </c>
      <c r="D26" t="n">
        <v>3.886699009010379</v>
      </c>
    </row>
    <row r="27">
      <c r="A27" t="inlineStr">
        <is>
          <t>2034-09-12</t>
        </is>
      </c>
      <c r="B27" t="n">
        <v>0.7312227545054454</v>
      </c>
      <c r="C27" t="n">
        <v>3.47396035491188</v>
      </c>
      <c r="D27" t="n">
        <v>4.03015315128124</v>
      </c>
    </row>
    <row r="28">
      <c r="A28" t="inlineStr">
        <is>
          <t>2035-09-12</t>
        </is>
      </c>
      <c r="B28" t="n">
        <v>0.7014204688999325</v>
      </c>
      <c r="C28" t="n">
        <v>3.542595291610957</v>
      </c>
      <c r="D28" t="n">
        <v>4.161061885592512</v>
      </c>
    </row>
    <row r="29">
      <c r="A29" t="inlineStr">
        <is>
          <t>2037-09-14</t>
        </is>
      </c>
      <c r="B29" t="n">
        <v>0.643053332222411</v>
      </c>
      <c r="C29" t="n">
        <v>3.673525863096611</v>
      </c>
      <c r="D29" t="n">
        <v>4.326213868838185</v>
      </c>
    </row>
    <row r="30">
      <c r="A30" t="inlineStr">
        <is>
          <t>2040-09-12</t>
        </is>
      </c>
      <c r="B30" t="n">
        <v>0.5626284046687064</v>
      </c>
      <c r="C30" t="n">
        <v>3.830042000283242</v>
      </c>
      <c r="D30" t="n">
        <v>4.457680294467659</v>
      </c>
    </row>
    <row r="31">
      <c r="A31" t="inlineStr">
        <is>
          <t>2045-09-12</t>
        </is>
      </c>
      <c r="B31" t="n">
        <v>0.4520171566294899</v>
      </c>
      <c r="C31" t="n">
        <v>3.966372342887099</v>
      </c>
      <c r="D31" t="n">
        <v>4.375587352641611</v>
      </c>
    </row>
    <row r="32">
      <c r="A32" t="inlineStr">
        <is>
          <t>2050-09-12</t>
        </is>
      </c>
      <c r="B32" t="n">
        <v>0.3701985767507338</v>
      </c>
      <c r="C32" t="n">
        <v>3.971381134763472</v>
      </c>
      <c r="D32" t="n">
        <v>3.991424531390336</v>
      </c>
    </row>
    <row r="33">
      <c r="A33" t="inlineStr">
        <is>
          <t>2055-09-13</t>
        </is>
      </c>
      <c r="B33" t="n">
        <v>0.3090882040338502</v>
      </c>
      <c r="C33" t="n">
        <v>3.910191025524229</v>
      </c>
      <c r="D33" t="n">
        <v>3.604307463574588</v>
      </c>
    </row>
    <row r="34">
      <c r="A34" t="inlineStr">
        <is>
          <t>2065-09-14</t>
        </is>
      </c>
      <c r="B34" t="n">
        <v>0.2272019491780251</v>
      </c>
      <c r="C34" t="n">
        <v>3.701240897501081</v>
      </c>
      <c r="D34" t="n">
        <v>3.074504881317802</v>
      </c>
    </row>
    <row r="35">
      <c r="A35" t="inlineStr">
        <is>
          <t>2075-09-12</t>
        </is>
      </c>
      <c r="B35" t="n">
        <v>0.1767931624871196</v>
      </c>
      <c r="C35" t="n">
        <v>3.462893140512852</v>
      </c>
      <c r="D35" t="n">
        <v>2.508587901985184</v>
      </c>
    </row>
    <row r="37">
      <c r="A37" t="inlineStr">
        <is>
          <t>THOR CURVE</t>
        </is>
      </c>
    </row>
    <row r="38">
      <c r="A38" t="inlineStr">
        <is>
          <t>Date</t>
        </is>
      </c>
      <c r="B38" t="inlineStr">
        <is>
          <t>DF</t>
        </is>
      </c>
      <c r="C38" t="inlineStr">
        <is>
          <t>Zero_Rate</t>
        </is>
      </c>
      <c r="D38" t="inlineStr">
        <is>
          <t>Forward_Rate</t>
        </is>
      </c>
    </row>
    <row r="39">
      <c r="A39" t="inlineStr">
        <is>
          <t>2025-09-10</t>
        </is>
      </c>
      <c r="B39" t="n">
        <v>1</v>
      </c>
      <c r="C39" t="n">
        <v>0</v>
      </c>
      <c r="D39" t="n">
        <v>0</v>
      </c>
    </row>
    <row r="40">
      <c r="A40" t="inlineStr">
        <is>
          <t>2025-09-19</t>
        </is>
      </c>
      <c r="B40" t="n">
        <v>0.9996302585468007</v>
      </c>
      <c r="C40" t="n">
        <v>1.499784287942141</v>
      </c>
      <c r="D40" t="n">
        <v>0</v>
      </c>
    </row>
    <row r="41">
      <c r="A41" t="inlineStr">
        <is>
          <t>2025-09-26</t>
        </is>
      </c>
      <c r="B41" t="n">
        <v>0.9993428590310495</v>
      </c>
      <c r="C41" t="n">
        <v>1.499595612257704</v>
      </c>
      <c r="D41" t="n">
        <v>1.499353029234796</v>
      </c>
    </row>
    <row r="42">
      <c r="A42" t="inlineStr">
        <is>
          <t>2025-10-13</t>
        </is>
      </c>
      <c r="B42" t="n">
        <v>0.9986794608842011</v>
      </c>
      <c r="C42" t="n">
        <v>1.461561531866207</v>
      </c>
      <c r="D42" t="n">
        <v>1.425764750321267</v>
      </c>
    </row>
    <row r="43">
      <c r="A43" t="inlineStr">
        <is>
          <t>2025-11-12</t>
        </is>
      </c>
      <c r="B43" t="n">
        <v>0.9975920673343326</v>
      </c>
      <c r="C43" t="n">
        <v>1.396754420943436</v>
      </c>
      <c r="D43" t="n">
        <v>1.325466598928291</v>
      </c>
    </row>
    <row r="44">
      <c r="A44" t="inlineStr">
        <is>
          <t>2025-12-12</t>
        </is>
      </c>
      <c r="B44" t="n">
        <v>0.9965264935964612</v>
      </c>
      <c r="C44" t="n">
        <v>1.365631029069305</v>
      </c>
      <c r="D44" t="n">
        <v>1.300271906133635</v>
      </c>
    </row>
    <row r="45">
      <c r="A45" t="inlineStr">
        <is>
          <t>2026-03-12</t>
        </is>
      </c>
      <c r="B45" t="n">
        <v>0.9937456420072787</v>
      </c>
      <c r="C45" t="n">
        <v>1.251371270498655</v>
      </c>
      <c r="D45" t="n">
        <v>1.13330285330896</v>
      </c>
    </row>
    <row r="46">
      <c r="A46" t="inlineStr">
        <is>
          <t>2026-06-12</t>
        </is>
      </c>
      <c r="B46" t="n">
        <v>0.991335371387741</v>
      </c>
      <c r="C46" t="n">
        <v>1.155043795457336</v>
      </c>
      <c r="D46" t="n">
        <v>0.9634358831468501</v>
      </c>
    </row>
    <row r="47">
      <c r="A47" t="inlineStr">
        <is>
          <t>2026-09-14</t>
        </is>
      </c>
      <c r="B47" t="n">
        <v>0.9890138676364718</v>
      </c>
      <c r="C47" t="n">
        <v>1.092717570981788</v>
      </c>
      <c r="D47" t="n">
        <v>0.9103802121437146</v>
      </c>
    </row>
    <row r="48">
      <c r="A48" t="inlineStr">
        <is>
          <t>2027-09-13</t>
        </is>
      </c>
      <c r="B48" t="n">
        <v>0.9797374318235261</v>
      </c>
      <c r="C48" t="n">
        <v>1.019344409733682</v>
      </c>
      <c r="D48" t="n">
        <v>0.9449633753915051</v>
      </c>
    </row>
    <row r="49">
      <c r="A49" t="inlineStr">
        <is>
          <t>2028-09-12</t>
        </is>
      </c>
      <c r="B49" t="n">
        <v>0.9692940509415437</v>
      </c>
      <c r="C49" t="n">
        <v>1.036734796742945</v>
      </c>
      <c r="D49" t="n">
        <v>1.071658505449214</v>
      </c>
    </row>
    <row r="50">
      <c r="A50" t="inlineStr">
        <is>
          <t>2029-09-12</t>
        </is>
      </c>
      <c r="B50" t="n">
        <v>0.9580867756404052</v>
      </c>
      <c r="C50" t="n">
        <v>1.068228138498669</v>
      </c>
      <c r="D50" t="n">
        <v>1.162967013150128</v>
      </c>
    </row>
    <row r="51">
      <c r="A51" t="inlineStr">
        <is>
          <t>2030-09-12</t>
        </is>
      </c>
      <c r="B51" t="n">
        <v>0.9459213044704269</v>
      </c>
      <c r="C51" t="n">
        <v>1.110093210322124</v>
      </c>
      <c r="D51" t="n">
        <v>1.277897594096685</v>
      </c>
    </row>
    <row r="52">
      <c r="A52" t="inlineStr">
        <is>
          <t>2032-09-13</t>
        </is>
      </c>
      <c r="B52" t="n">
        <v>0.9183050229619187</v>
      </c>
      <c r="C52" t="n">
        <v>1.215131687621581</v>
      </c>
      <c r="D52" t="n">
        <v>1.47744089049509</v>
      </c>
    </row>
    <row r="53">
      <c r="A53" t="inlineStr">
        <is>
          <t>2035-09-12</t>
        </is>
      </c>
      <c r="B53" t="n">
        <v>0.869182582569892</v>
      </c>
      <c r="C53" t="n">
        <v>1.400485913530807</v>
      </c>
      <c r="D53" t="n">
        <v>1.834221579278172</v>
      </c>
    </row>
    <row r="54">
      <c r="A54" t="inlineStr">
        <is>
          <t>2037-09-14</t>
        </is>
      </c>
      <c r="B54" t="n">
        <v>0.8302502254635293</v>
      </c>
      <c r="C54" t="n">
        <v>1.547760969112653</v>
      </c>
      <c r="D54" t="n">
        <v>2.281926116583413</v>
      </c>
    </row>
    <row r="55">
      <c r="A55" t="inlineStr">
        <is>
          <t>2040-09-12</t>
        </is>
      </c>
      <c r="B55" t="n">
        <v>0.7700883080725166</v>
      </c>
      <c r="C55" t="n">
        <v>1.739760645670106</v>
      </c>
      <c r="D55" t="n">
        <v>2.509689878812291</v>
      </c>
    </row>
    <row r="56">
      <c r="A56" t="inlineStr">
        <is>
          <t>2045-09-12</t>
        </is>
      </c>
      <c r="B56" t="n">
        <v>0.6769872187609056</v>
      </c>
      <c r="C56" t="n">
        <v>1.948645862867187</v>
      </c>
      <c r="D56" t="n">
        <v>2.575644699371678</v>
      </c>
    </row>
    <row r="58">
      <c r="A58" t="inlineStr">
        <is>
          <t>TONR CURVE</t>
        </is>
      </c>
    </row>
    <row r="59">
      <c r="A59" t="inlineStr">
        <is>
          <t>Date</t>
        </is>
      </c>
      <c r="B59" t="inlineStr">
        <is>
          <t>DF</t>
        </is>
      </c>
      <c r="C59" t="inlineStr">
        <is>
          <t>Zero_Rate</t>
        </is>
      </c>
      <c r="D59" t="inlineStr">
        <is>
          <t>Forward_Rate</t>
        </is>
      </c>
    </row>
    <row r="60">
      <c r="A60" t="inlineStr">
        <is>
          <t>2025-09-10</t>
        </is>
      </c>
      <c r="B60" t="n">
        <v>1</v>
      </c>
      <c r="C60" t="n">
        <v>0</v>
      </c>
      <c r="D60" t="n">
        <v>0</v>
      </c>
    </row>
    <row r="61">
      <c r="A61" t="inlineStr">
        <is>
          <t>2025-09-19</t>
        </is>
      </c>
      <c r="B61" t="n">
        <v>0.9998819693709743</v>
      </c>
      <c r="C61" t="n">
        <v>0.4787080249313747</v>
      </c>
      <c r="D61" t="n">
        <v>0</v>
      </c>
    </row>
    <row r="62">
      <c r="A62" t="inlineStr">
        <is>
          <t>2025-09-26</t>
        </is>
      </c>
      <c r="B62" t="n">
        <v>0.999790178159937</v>
      </c>
      <c r="C62" t="n">
        <v>0.4787062959181357</v>
      </c>
      <c r="D62" t="n">
        <v>0.4787040729015201</v>
      </c>
    </row>
    <row r="63">
      <c r="A63" t="inlineStr">
        <is>
          <t>2025-10-03</t>
        </is>
      </c>
      <c r="B63" t="n">
        <v>0.9996984076340019</v>
      </c>
      <c r="C63" t="n">
        <v>0.4786861598021391</v>
      </c>
      <c r="D63" t="n">
        <v>0.4786401343939248</v>
      </c>
    </row>
    <row r="64">
      <c r="A64" t="inlineStr">
        <is>
          <t>2025-10-14</t>
        </is>
      </c>
      <c r="B64" t="n">
        <v>0.9995529169117729</v>
      </c>
      <c r="C64" t="n">
        <v>0.4800641669976874</v>
      </c>
      <c r="D64" t="n">
        <v>0.482945454770373</v>
      </c>
    </row>
    <row r="65">
      <c r="A65" t="inlineStr">
        <is>
          <t>2025-11-12</t>
        </is>
      </c>
      <c r="B65" t="n">
        <v>0.9991448624913497</v>
      </c>
      <c r="C65" t="n">
        <v>0.495648764709081</v>
      </c>
      <c r="D65" t="n">
        <v>0.5139203620259962</v>
      </c>
    </row>
    <row r="66">
      <c r="A66" t="inlineStr">
        <is>
          <t>2025-12-12</t>
        </is>
      </c>
      <c r="B66" t="n">
        <v>0.998685285438518</v>
      </c>
      <c r="C66" t="n">
        <v>0.5163296110422922</v>
      </c>
      <c r="D66" t="n">
        <v>0.5597593883419604</v>
      </c>
    </row>
    <row r="67">
      <c r="A67" t="inlineStr">
        <is>
          <t>2026-01-13</t>
        </is>
      </c>
      <c r="B67" t="n">
        <v>0.9981494058824937</v>
      </c>
      <c r="C67" t="n">
        <v>0.5408741060352121</v>
      </c>
      <c r="D67" t="n">
        <v>0.612206544608394</v>
      </c>
    </row>
    <row r="68">
      <c r="A68" t="inlineStr">
        <is>
          <t>2026-02-12</t>
        </is>
      </c>
      <c r="B68" t="n">
        <v>0.9976033952246248</v>
      </c>
      <c r="C68" t="n">
        <v>0.5650391281981055</v>
      </c>
      <c r="D68" t="n">
        <v>0.6657267205435332</v>
      </c>
    </row>
    <row r="69">
      <c r="A69" t="inlineStr">
        <is>
          <t>2026-03-12</t>
        </is>
      </c>
      <c r="B69" t="n">
        <v>0.9970767422584563</v>
      </c>
      <c r="C69" t="n">
        <v>0.5839080129376445</v>
      </c>
      <c r="D69" t="n">
        <v>0.6883607677457126</v>
      </c>
    </row>
    <row r="70">
      <c r="A70" t="inlineStr">
        <is>
          <t>2026-04-13</t>
        </is>
      </c>
      <c r="B70" t="n">
        <v>0.9964484919774563</v>
      </c>
      <c r="C70" t="n">
        <v>0.604003629600837</v>
      </c>
      <c r="D70" t="n">
        <v>0.7189254373934214</v>
      </c>
    </row>
    <row r="71">
      <c r="A71" t="inlineStr">
        <is>
          <t>2026-05-12</t>
        </is>
      </c>
      <c r="B71" t="n">
        <v>0.9958531265177133</v>
      </c>
      <c r="C71" t="n">
        <v>0.6216212690731449</v>
      </c>
      <c r="D71" t="n">
        <v>0.7522348030919754</v>
      </c>
    </row>
    <row r="72">
      <c r="A72" t="inlineStr">
        <is>
          <t>2026-06-12</t>
        </is>
      </c>
      <c r="B72" t="n">
        <v>0.9951793294837474</v>
      </c>
      <c r="C72" t="n">
        <v>0.6413816402050213</v>
      </c>
      <c r="D72" t="n">
        <v>0.7969148839526801</v>
      </c>
    </row>
    <row r="73">
      <c r="A73" t="inlineStr">
        <is>
          <t>2026-07-13</t>
        </is>
      </c>
      <c r="B73" t="n">
        <v>0.9945008002673619</v>
      </c>
      <c r="C73" t="n">
        <v>0.6577605353822721</v>
      </c>
      <c r="D73" t="n">
        <v>0.8030571861482991</v>
      </c>
    </row>
    <row r="74">
      <c r="A74" t="inlineStr">
        <is>
          <t>2026-08-12</t>
        </is>
      </c>
      <c r="B74" t="n">
        <v>0.9938057619539643</v>
      </c>
      <c r="C74" t="n">
        <v>0.6749786322522802</v>
      </c>
      <c r="D74" t="n">
        <v>0.8506032203264324</v>
      </c>
    </row>
    <row r="75">
      <c r="A75" t="inlineStr">
        <is>
          <t>2026-09-14</t>
        </is>
      </c>
      <c r="B75" t="n">
        <v>0.9930194910340356</v>
      </c>
      <c r="C75" t="n">
        <v>0.6929051881393959</v>
      </c>
      <c r="D75" t="n">
        <v>0.8754301208081063</v>
      </c>
    </row>
    <row r="76">
      <c r="A76" t="inlineStr">
        <is>
          <t>2026-12-14</t>
        </is>
      </c>
      <c r="B76" t="n">
        <v>0.9907599383197593</v>
      </c>
      <c r="C76" t="n">
        <v>0.7365871275774066</v>
      </c>
      <c r="D76" t="n">
        <v>0.9137149918919979</v>
      </c>
    </row>
    <row r="77">
      <c r="A77" t="inlineStr">
        <is>
          <t>2027-03-12</t>
        </is>
      </c>
      <c r="B77" t="n">
        <v>0.9884406300276081</v>
      </c>
      <c r="C77" t="n">
        <v>0.7744060362274432</v>
      </c>
      <c r="D77" t="n">
        <v>0.9720957859889826</v>
      </c>
    </row>
    <row r="78">
      <c r="A78" t="inlineStr">
        <is>
          <t>2027-06-14</t>
        </is>
      </c>
      <c r="B78" t="n">
        <v>0.9858501500053153</v>
      </c>
      <c r="C78" t="n">
        <v>0.8102154934896068</v>
      </c>
      <c r="D78" t="n">
        <v>1.018977010294561</v>
      </c>
    </row>
    <row r="79">
      <c r="A79" t="inlineStr">
        <is>
          <t>2027-09-13</t>
        </is>
      </c>
      <c r="B79" t="n">
        <v>0.98330011973325</v>
      </c>
      <c r="C79" t="n">
        <v>0.8385984763556428</v>
      </c>
      <c r="D79" t="n">
        <v>1.038838860970937</v>
      </c>
    </row>
    <row r="80">
      <c r="A80" t="inlineStr">
        <is>
          <t>2028-09-12</t>
        </is>
      </c>
      <c r="B80" t="n">
        <v>0.9724508382661267</v>
      </c>
      <c r="C80" t="n">
        <v>0.9286476491574726</v>
      </c>
      <c r="D80" t="n">
        <v>1.10948612494855</v>
      </c>
    </row>
    <row r="81">
      <c r="A81" t="inlineStr">
        <is>
          <t>2029-09-12</t>
        </is>
      </c>
      <c r="B81" t="n">
        <v>0.9609953081293986</v>
      </c>
      <c r="C81" t="n">
        <v>0.9926042098900677</v>
      </c>
      <c r="D81" t="n">
        <v>1.184999562450031</v>
      </c>
    </row>
    <row r="82">
      <c r="A82" t="inlineStr">
        <is>
          <t>2030-09-12</t>
        </is>
      </c>
      <c r="B82" t="n">
        <v>0.9488681804041099</v>
      </c>
      <c r="C82" t="n">
        <v>1.047985158750173</v>
      </c>
      <c r="D82" t="n">
        <v>1.269964140071629</v>
      </c>
    </row>
    <row r="83">
      <c r="A83" t="inlineStr">
        <is>
          <t>2031-09-12</t>
        </is>
      </c>
      <c r="B83" t="n">
        <v>0.9357696723685786</v>
      </c>
      <c r="C83" t="n">
        <v>1.104918235303604</v>
      </c>
      <c r="D83" t="n">
        <v>1.390051561165711</v>
      </c>
    </row>
    <row r="84">
      <c r="A84" t="inlineStr">
        <is>
          <t>2032-09-13</t>
        </is>
      </c>
      <c r="B84" t="n">
        <v>0.9213081251141909</v>
      </c>
      <c r="C84" t="n">
        <v>1.168580916351254</v>
      </c>
      <c r="D84" t="n">
        <v>1.54899579247522</v>
      </c>
    </row>
    <row r="85">
      <c r="A85" t="inlineStr">
        <is>
          <t>2033-09-12</t>
        </is>
      </c>
      <c r="B85" t="n">
        <v>0.9056879130741294</v>
      </c>
      <c r="C85" t="n">
        <v>1.236562317605385</v>
      </c>
      <c r="D85" t="n">
        <v>1.714673271480581</v>
      </c>
    </row>
    <row r="86">
      <c r="A86" t="inlineStr">
        <is>
          <t>2034-09-12</t>
        </is>
      </c>
      <c r="B86" t="n">
        <v>0.8887399957105798</v>
      </c>
      <c r="C86" t="n">
        <v>1.308967844240063</v>
      </c>
      <c r="D86" t="n">
        <v>1.889005542540876</v>
      </c>
    </row>
    <row r="87">
      <c r="A87" t="inlineStr">
        <is>
          <t>2035-09-12</t>
        </is>
      </c>
      <c r="B87" t="n">
        <v>0.8704475402752349</v>
      </c>
      <c r="C87" t="n">
        <v>1.385958995722833</v>
      </c>
      <c r="D87" t="n">
        <v>2.079723097714143</v>
      </c>
    </row>
    <row r="88">
      <c r="A88" t="inlineStr">
        <is>
          <t>2036-09-12</t>
        </is>
      </c>
      <c r="B88" t="n">
        <v>0.850486048152258</v>
      </c>
      <c r="C88" t="n">
        <v>1.470416769227472</v>
      </c>
      <c r="D88" t="n">
        <v>2.313609950609853</v>
      </c>
    </row>
    <row r="89">
      <c r="A89" t="inlineStr">
        <is>
          <t>2037-09-14</t>
        </is>
      </c>
      <c r="B89" t="n">
        <v>0.8298602672925538</v>
      </c>
      <c r="C89" t="n">
        <v>1.551669704439205</v>
      </c>
      <c r="D89" t="n">
        <v>2.441688231826584</v>
      </c>
    </row>
    <row r="90">
      <c r="A90" t="inlineStr">
        <is>
          <t>2040-09-12</t>
        </is>
      </c>
      <c r="B90" t="n">
        <v>0.7610162995380325</v>
      </c>
      <c r="C90" t="n">
        <v>1.818676947849529</v>
      </c>
      <c r="D90" t="n">
        <v>2.889390637832247</v>
      </c>
    </row>
    <row r="91">
      <c r="A91" t="inlineStr">
        <is>
          <t>2045-09-12</t>
        </is>
      </c>
      <c r="B91" t="n">
        <v>0.6403679153759957</v>
      </c>
      <c r="C91" t="n">
        <v>2.226427070065848</v>
      </c>
      <c r="D91" t="n">
        <v>3.450347343815927</v>
      </c>
    </row>
    <row r="92">
      <c r="A92" t="inlineStr">
        <is>
          <t>2050-09-12</t>
        </is>
      </c>
      <c r="B92" t="n">
        <v>0.5351284704704731</v>
      </c>
      <c r="C92" t="n">
        <v>2.498802985386059</v>
      </c>
      <c r="D92" t="n">
        <v>3.58875414269427</v>
      </c>
    </row>
    <row r="93">
      <c r="A93" t="inlineStr">
        <is>
          <t>2055-09-13</t>
        </is>
      </c>
      <c r="B93" t="n">
        <v>0.4488348934266328</v>
      </c>
      <c r="C93" t="n">
        <v>2.66789749566117</v>
      </c>
      <c r="D93" t="n">
        <v>3.513184940840469</v>
      </c>
    </row>
    <row r="94">
      <c r="A94" t="inlineStr">
        <is>
          <t>2060-09-13</t>
        </is>
      </c>
      <c r="B94" t="n">
        <v>0.377015330181208</v>
      </c>
      <c r="C94" t="n">
        <v>2.784439989785224</v>
      </c>
      <c r="D94" t="n">
        <v>3.483567376539264</v>
      </c>
    </row>
    <row r="95">
      <c r="A95" t="inlineStr">
        <is>
          <t>2065-09-14</t>
        </is>
      </c>
      <c r="B95" t="n">
        <v>0.3184098795325816</v>
      </c>
      <c r="C95" t="n">
        <v>2.858298657697095</v>
      </c>
      <c r="D95" t="n">
        <v>3.375228480679633</v>
      </c>
    </row>
    <row r="97">
      <c r="A97" t="inlineStr">
        <is>
          <t>USDTHB_XCS CURVE</t>
        </is>
      </c>
    </row>
    <row r="98">
      <c r="A98" t="inlineStr">
        <is>
          <t>Date</t>
        </is>
      </c>
      <c r="B98" t="inlineStr">
        <is>
          <t>DF</t>
        </is>
      </c>
      <c r="C98" t="inlineStr">
        <is>
          <t>Zero_Rate</t>
        </is>
      </c>
      <c r="D98" t="inlineStr">
        <is>
          <t>Forward_Rate</t>
        </is>
      </c>
    </row>
    <row r="99">
      <c r="A99" t="inlineStr">
        <is>
          <t>2025-09-10</t>
        </is>
      </c>
      <c r="B99" t="n">
        <v>1</v>
      </c>
      <c r="C99" t="n">
        <v>0</v>
      </c>
      <c r="D99" t="n">
        <v>0</v>
      </c>
    </row>
    <row r="100">
      <c r="A100" t="inlineStr">
        <is>
          <t>2025-10-14</t>
        </is>
      </c>
      <c r="B100" t="n">
        <v>0.9987363411387158</v>
      </c>
      <c r="C100" t="n">
        <v>1.357432800766433</v>
      </c>
      <c r="D100" t="n">
        <v>0</v>
      </c>
    </row>
    <row r="101">
      <c r="A101" t="inlineStr">
        <is>
          <t>2025-11-12</t>
        </is>
      </c>
      <c r="B101" t="n">
        <v>0.997717426721998</v>
      </c>
      <c r="C101" t="n">
        <v>1.323954835820568</v>
      </c>
      <c r="D101" t="n">
        <v>1.284704807952863</v>
      </c>
    </row>
    <row r="102">
      <c r="A102" t="inlineStr">
        <is>
          <t>2025-12-12</t>
        </is>
      </c>
      <c r="B102" t="n">
        <v>0.9966867898735792</v>
      </c>
      <c r="C102" t="n">
        <v>1.30250483942721</v>
      </c>
      <c r="D102" t="n">
        <v>1.257459847001236</v>
      </c>
    </row>
    <row r="103">
      <c r="A103" t="inlineStr">
        <is>
          <t>2026-03-12</t>
        </is>
      </c>
      <c r="B103" t="n">
        <v>0.9943311646535918</v>
      </c>
      <c r="C103" t="n">
        <v>1.133886297566244</v>
      </c>
      <c r="D103" t="n">
        <v>0.9596471376432772</v>
      </c>
    </row>
    <row r="104">
      <c r="A104" t="inlineStr">
        <is>
          <t>2026-06-12</t>
        </is>
      </c>
      <c r="B104" t="n">
        <v>0.9921700726481684</v>
      </c>
      <c r="C104" t="n">
        <v>1.043334872538591</v>
      </c>
      <c r="D104" t="n">
        <v>0.8632162771031709</v>
      </c>
    </row>
    <row r="105">
      <c r="A105" t="inlineStr">
        <is>
          <t>2026-09-14</t>
        </is>
      </c>
      <c r="B105" t="n">
        <v>0.9899964936691468</v>
      </c>
      <c r="C105" t="n">
        <v>0.9944892484986898</v>
      </c>
      <c r="D105" t="n">
        <v>0.8515898164670308</v>
      </c>
    </row>
    <row r="106">
      <c r="A106" t="inlineStr">
        <is>
          <t>2027-09-13</t>
        </is>
      </c>
      <c r="B106" t="n">
        <v>0.9803083827770755</v>
      </c>
      <c r="C106" t="n">
        <v>0.9903341593210774</v>
      </c>
      <c r="D106" t="n">
        <v>0.9861219947426709</v>
      </c>
    </row>
    <row r="107">
      <c r="A107" t="inlineStr">
        <is>
          <t>2028-09-12</t>
        </is>
      </c>
      <c r="B107" t="n">
        <v>0.9701450903755142</v>
      </c>
      <c r="C107" t="n">
        <v>1.007560924564869</v>
      </c>
      <c r="D107" t="n">
        <v>1.042156044903771</v>
      </c>
    </row>
    <row r="108">
      <c r="A108" t="inlineStr">
        <is>
          <t>2029-09-12</t>
        </is>
      </c>
      <c r="B108" t="n">
        <v>0.959794261347097</v>
      </c>
      <c r="C108" t="n">
        <v>1.023804506732797</v>
      </c>
      <c r="D108" t="n">
        <v>1.072668762131113</v>
      </c>
    </row>
    <row r="109">
      <c r="A109" t="inlineStr">
        <is>
          <t>2030-09-12</t>
        </is>
      </c>
      <c r="B109" t="n">
        <v>0.9487517033744666</v>
      </c>
      <c r="C109" t="n">
        <v>1.050436353026134</v>
      </c>
      <c r="D109" t="n">
        <v>1.157182630086816</v>
      </c>
    </row>
    <row r="110">
      <c r="A110" t="inlineStr">
        <is>
          <t>2032-09-13</t>
        </is>
      </c>
      <c r="B110" t="n">
        <v>0.927127169173226</v>
      </c>
      <c r="C110" t="n">
        <v>1.078810813538933</v>
      </c>
      <c r="D110" t="n">
        <v>1.149669438972537</v>
      </c>
    </row>
    <row r="111">
      <c r="A111" t="inlineStr">
        <is>
          <t>2035-09-12</t>
        </is>
      </c>
      <c r="B111" t="n">
        <v>0.884745845957411</v>
      </c>
      <c r="C111" t="n">
        <v>1.22320804730372</v>
      </c>
      <c r="D111" t="n">
        <v>1.561102853919673</v>
      </c>
    </row>
    <row r="112">
      <c r="A112" t="inlineStr">
        <is>
          <t>2037-09-14</t>
        </is>
      </c>
      <c r="B112" t="n">
        <v>0.8491537955109089</v>
      </c>
      <c r="C112" t="n">
        <v>1.360450431355964</v>
      </c>
      <c r="D112" t="n">
        <v>2.044602779687345</v>
      </c>
    </row>
    <row r="113">
      <c r="A113" t="inlineStr">
        <is>
          <t>2040-09-12</t>
        </is>
      </c>
      <c r="B113" t="n">
        <v>0.7926199504984272</v>
      </c>
      <c r="C113" t="n">
        <v>1.547713392988536</v>
      </c>
      <c r="D113" t="n">
        <v>2.298648139498679</v>
      </c>
    </row>
    <row r="114">
      <c r="A114" t="inlineStr">
        <is>
          <t>2045-09-12</t>
        </is>
      </c>
      <c r="B114" t="n">
        <v>0.7050259412418689</v>
      </c>
      <c r="C114" t="n">
        <v>1.745929225086366</v>
      </c>
      <c r="D114" t="n">
        <v>2.34090237718286</v>
      </c>
    </row>
    <row r="116">
      <c r="A116" t="inlineStr">
        <is>
          <t>USDJPY_XCS CURVE</t>
        </is>
      </c>
    </row>
    <row r="117">
      <c r="A117" t="inlineStr">
        <is>
          <t>Date</t>
        </is>
      </c>
      <c r="B117" t="inlineStr">
        <is>
          <t>DF</t>
        </is>
      </c>
      <c r="C117" t="inlineStr">
        <is>
          <t>Zero_Rate</t>
        </is>
      </c>
      <c r="D117" t="inlineStr">
        <is>
          <t>Forward_Rate</t>
        </is>
      </c>
    </row>
    <row r="118">
      <c r="A118" t="inlineStr">
        <is>
          <t>2025-09-10</t>
        </is>
      </c>
      <c r="B118" t="n">
        <v>1</v>
      </c>
      <c r="C118" t="n">
        <v>0</v>
      </c>
      <c r="D118" t="n">
        <v>0</v>
      </c>
    </row>
    <row r="119">
      <c r="A119" t="inlineStr">
        <is>
          <t>2025-09-19</t>
        </is>
      </c>
      <c r="B119" t="n">
        <v>0.9998999698689016</v>
      </c>
      <c r="C119" t="n">
        <v>0.405698045251627</v>
      </c>
      <c r="D119" t="n">
        <v>0</v>
      </c>
    </row>
    <row r="120">
      <c r="A120" t="inlineStr">
        <is>
          <t>2025-10-14</t>
        </is>
      </c>
      <c r="B120" t="n">
        <v>0.999719142667657</v>
      </c>
      <c r="C120" t="n">
        <v>0.3015509551608466</v>
      </c>
      <c r="D120" t="n">
        <v>0.2640580027281325</v>
      </c>
    </row>
    <row r="121">
      <c r="A121" t="inlineStr">
        <is>
          <t>2025-11-12</t>
        </is>
      </c>
      <c r="B121" t="n">
        <v>0.9994692008613765</v>
      </c>
      <c r="C121" t="n">
        <v>0.3076081313653589</v>
      </c>
      <c r="D121" t="n">
        <v>0.3147096482947665</v>
      </c>
    </row>
    <row r="122">
      <c r="A122" t="inlineStr">
        <is>
          <t>2025-12-12</t>
        </is>
      </c>
      <c r="B122" t="n">
        <v>0.9991762097800876</v>
      </c>
      <c r="C122" t="n">
        <v>0.3234487616798777</v>
      </c>
      <c r="D122" t="n">
        <v>0.356714085340453</v>
      </c>
    </row>
    <row r="123">
      <c r="A123" t="inlineStr">
        <is>
          <t>2026-01-13</t>
        </is>
      </c>
      <c r="B123" t="n">
        <v>0.999166712764374</v>
      </c>
      <c r="C123" t="n">
        <v>0.243421306827926</v>
      </c>
      <c r="D123" t="n">
        <v>0.0108415161644957</v>
      </c>
    </row>
    <row r="124">
      <c r="A124" t="inlineStr">
        <is>
          <t>2026-02-12</t>
        </is>
      </c>
      <c r="B124" t="n">
        <v>0.9987940391275987</v>
      </c>
      <c r="C124" t="n">
        <v>0.2841557092612893</v>
      </c>
      <c r="D124" t="n">
        <v>0.4538823860669197</v>
      </c>
    </row>
    <row r="125">
      <c r="A125" t="inlineStr">
        <is>
          <t>2026-03-12</t>
        </is>
      </c>
      <c r="B125" t="n">
        <v>0.9984651168271406</v>
      </c>
      <c r="C125" t="n">
        <v>0.3063730842374952</v>
      </c>
      <c r="D125" t="n">
        <v>0.4293621242842588</v>
      </c>
    </row>
    <row r="126">
      <c r="A126" t="inlineStr">
        <is>
          <t>2026-06-12</t>
        </is>
      </c>
      <c r="B126" t="n">
        <v>0.9972288549291773</v>
      </c>
      <c r="C126" t="n">
        <v>0.3683170936581316</v>
      </c>
      <c r="D126" t="n">
        <v>0.4915318080492116</v>
      </c>
    </row>
    <row r="127">
      <c r="A127" t="inlineStr">
        <is>
          <t>2026-09-14</t>
        </is>
      </c>
      <c r="B127" t="n">
        <v>0.9958236133922922</v>
      </c>
      <c r="C127" t="n">
        <v>0.4139764783072275</v>
      </c>
      <c r="D127" t="n">
        <v>0.5475544653125716</v>
      </c>
    </row>
    <row r="128">
      <c r="A128" t="inlineStr">
        <is>
          <t>2027-03-12</t>
        </is>
      </c>
      <c r="B128" t="n">
        <v>0.993184858331328</v>
      </c>
      <c r="C128" t="n">
        <v>0.4554820880428067</v>
      </c>
      <c r="D128" t="n">
        <v>0.5410439315759118</v>
      </c>
    </row>
    <row r="129">
      <c r="A129" t="inlineStr">
        <is>
          <t>2027-09-13</t>
        </is>
      </c>
      <c r="B129" t="n">
        <v>0.9898351895532481</v>
      </c>
      <c r="C129" t="n">
        <v>0.5087504900999682</v>
      </c>
      <c r="D129" t="n">
        <v>0.6665401351125201</v>
      </c>
    </row>
    <row r="130">
      <c r="A130" t="inlineStr">
        <is>
          <t>2028-09-12</t>
        </is>
      </c>
      <c r="B130" t="n">
        <v>0.9829895939772521</v>
      </c>
      <c r="C130" t="n">
        <v>0.5703289507789264</v>
      </c>
      <c r="D130" t="n">
        <v>0.6939919964711931</v>
      </c>
    </row>
    <row r="131">
      <c r="A131" t="inlineStr">
        <is>
          <t>2029-09-12</t>
        </is>
      </c>
      <c r="B131" t="n">
        <v>0.9759333939284037</v>
      </c>
      <c r="C131" t="n">
        <v>0.6077746186334807</v>
      </c>
      <c r="D131" t="n">
        <v>0.7204193948096391</v>
      </c>
    </row>
    <row r="132">
      <c r="A132" t="inlineStr">
        <is>
          <t>2030-09-12</t>
        </is>
      </c>
      <c r="B132" t="n">
        <v>0.9678208597492192</v>
      </c>
      <c r="C132" t="n">
        <v>0.65309184584763</v>
      </c>
      <c r="D132" t="n">
        <v>0.8347332250649008</v>
      </c>
    </row>
    <row r="133">
      <c r="A133" t="inlineStr">
        <is>
          <t>2031-09-12</t>
        </is>
      </c>
      <c r="B133" t="n">
        <v>0.95870575041067</v>
      </c>
      <c r="C133" t="n">
        <v>0.7018898534432073</v>
      </c>
      <c r="D133" t="n">
        <v>0.9462809709355853</v>
      </c>
    </row>
    <row r="134">
      <c r="A134" t="inlineStr">
        <is>
          <t>2032-09-13</t>
        </is>
      </c>
      <c r="B134" t="n">
        <v>0.9477985439041517</v>
      </c>
      <c r="C134" t="n">
        <v>0.7644084607464607</v>
      </c>
      <c r="D134" t="n">
        <v>1.13798695070841</v>
      </c>
    </row>
    <row r="135">
      <c r="A135" t="inlineStr">
        <is>
          <t>2033-09-12</t>
        </is>
      </c>
      <c r="B135" t="n">
        <v>0.9354381549216801</v>
      </c>
      <c r="C135" t="n">
        <v>0.8331118080680938</v>
      </c>
      <c r="D135" t="n">
        <v>1.31630018483562</v>
      </c>
    </row>
    <row r="136">
      <c r="A136" t="inlineStr">
        <is>
          <t>2034-09-12</t>
        </is>
      </c>
      <c r="B136" t="n">
        <v>0.9215296269366481</v>
      </c>
      <c r="C136" t="n">
        <v>0.9068996150847259</v>
      </c>
      <c r="D136" t="n">
        <v>1.49801070471933</v>
      </c>
    </row>
    <row r="137">
      <c r="A137" t="inlineStr">
        <is>
          <t>2035-09-12</t>
        </is>
      </c>
      <c r="B137" t="n">
        <v>0.9060722471585397</v>
      </c>
      <c r="C137" t="n">
        <v>0.9852825694587057</v>
      </c>
      <c r="D137" t="n">
        <v>1.691588150105328</v>
      </c>
    </row>
    <row r="138">
      <c r="A138" t="inlineStr">
        <is>
          <t>2037-09-14</t>
        </is>
      </c>
      <c r="B138" t="n">
        <v>0.870219349419551</v>
      </c>
      <c r="C138" t="n">
        <v>1.156568048095015</v>
      </c>
      <c r="D138" t="n">
        <v>2.010424990710397</v>
      </c>
    </row>
    <row r="139">
      <c r="A139" t="inlineStr">
        <is>
          <t>2040-09-12</t>
        </is>
      </c>
      <c r="B139" t="n">
        <v>0.8058452862199861</v>
      </c>
      <c r="C139" t="n">
        <v>1.437514691310352</v>
      </c>
      <c r="D139" t="n">
        <v>2.564126139012074</v>
      </c>
    </row>
    <row r="140">
      <c r="A140" t="inlineStr">
        <is>
          <t>2045-09-12</t>
        </is>
      </c>
      <c r="B140" t="n">
        <v>0.6866790864300643</v>
      </c>
      <c r="C140" t="n">
        <v>1.877640617675951</v>
      </c>
      <c r="D140" t="n">
        <v>3.198741495227892</v>
      </c>
    </row>
    <row r="141">
      <c r="A141" t="inlineStr">
        <is>
          <t>2055-09-13</t>
        </is>
      </c>
      <c r="B141" t="n">
        <v>0.4880635696564584</v>
      </c>
      <c r="C141" t="n">
        <v>2.388850454489306</v>
      </c>
      <c r="D141" t="n">
        <v>3.411410070584348</v>
      </c>
    </row>
    <row r="142">
      <c r="A142" t="inlineStr">
        <is>
          <t>2065-09-14</t>
        </is>
      </c>
      <c r="B142" t="n">
        <v>0.3454008125685602</v>
      </c>
      <c r="C142" t="n">
        <v>2.655078436198058</v>
      </c>
      <c r="D142" t="n">
        <v>3.45361666266985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2025-09-17T07:07:47Z</dcterms:created>
  <dcterms:modified xmlns:dcterms="http://purl.org/dc/terms/" xmlns:xsi="http://www.w3.org/2001/XMLSchema-instance" xsi:type="dcterms:W3CDTF">2025-11-17T06:45:21Z</dcterms:modified>
  <cp:lastModifiedBy>邱士展(Max Chiu)</cp:lastModifiedBy>
</cp:coreProperties>
</file>